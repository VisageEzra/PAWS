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hmedumy-my.sharepoint.com/personal/hazwani_uthm_edu_my/Documents/GDRIVE/16_2026_sem2_FYP2/RUBRIC/"/>
    </mc:Choice>
  </mc:AlternateContent>
  <xr:revisionPtr revIDLastSave="930" documentId="13_ncr:1_{88D0E0F8-4E6E-4FE2-8581-4619AA8CBEB2}" xr6:coauthVersionLast="47" xr6:coauthVersionMax="47" xr10:uidLastSave="{96A65B82-39C3-4F76-9683-574119BC2E71}"/>
  <bookViews>
    <workbookView xWindow="-108" yWindow="-108" windowWidth="23256" windowHeight="12456" tabRatio="829" activeTab="3" xr2:uid="{07433AAA-708B-4140-B6F4-4FF496A4B959}"/>
  </bookViews>
  <sheets>
    <sheet name="MAKLUMAT PELAJAR &amp; PROJEK" sheetId="4" r:id="rId1"/>
    <sheet name="TECHNICAL REPORT (15%)" sheetId="2" r:id="rId2"/>
    <sheet name="PROJECT INNOVATION (10%)" sheetId="3" r:id="rId3"/>
    <sheet name="PROJECT DEMONSTRATION (10%)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6" i="3" l="1"/>
  <c r="W17" i="5"/>
  <c r="V17" i="5"/>
  <c r="U17" i="5"/>
  <c r="W15" i="5"/>
  <c r="V15" i="5"/>
  <c r="U15" i="5"/>
  <c r="U12" i="5" l="1"/>
  <c r="T16" i="2" l="1"/>
  <c r="T18" i="2"/>
  <c r="T10" i="2" l="1"/>
  <c r="U10" i="5" l="1"/>
  <c r="U8" i="5"/>
  <c r="T8" i="3"/>
  <c r="T10" i="3"/>
  <c r="W19" i="5" l="1"/>
  <c r="L32" i="4" s="1"/>
  <c r="V19" i="5"/>
  <c r="K32" i="4" s="1"/>
  <c r="U19" i="5"/>
  <c r="J32" i="4" s="1"/>
  <c r="T14" i="3"/>
  <c r="T12" i="3"/>
  <c r="T18" i="3" s="1"/>
  <c r="T8" i="2"/>
  <c r="T20" i="2"/>
  <c r="T14" i="2"/>
  <c r="T12" i="2"/>
  <c r="T22" i="2" l="1"/>
  <c r="J27" i="4" s="1"/>
  <c r="J29" i="4"/>
  <c r="L34" i="4" l="1"/>
  <c r="J34" i="4"/>
  <c r="K34" i="4"/>
</calcChain>
</file>

<file path=xl/sharedStrings.xml><?xml version="1.0" encoding="utf-8"?>
<sst xmlns="http://schemas.openxmlformats.org/spreadsheetml/2006/main" count="193" uniqueCount="148">
  <si>
    <t>TAHAP PENILAIAN</t>
  </si>
  <si>
    <t>PEMBERAT</t>
  </si>
  <si>
    <t>SKOR</t>
  </si>
  <si>
    <t>PEMBERAT x SKALA</t>
  </si>
  <si>
    <t>1- TIDAK MEMUASKAN</t>
  </si>
  <si>
    <t>2- KURANG MEMUASKAN</t>
  </si>
  <si>
    <t>3. SEDERHANA</t>
  </si>
  <si>
    <t>4-MEMUASKAN</t>
  </si>
  <si>
    <t>5-SANGAT MEMUASKAN</t>
  </si>
  <si>
    <t xml:space="preserve">JUMLAH MARKAH KESELURUHAN (10%)  </t>
  </si>
  <si>
    <t>1. MAKLUMAT PELAJAR &amp; PROJEK</t>
  </si>
  <si>
    <t>BIL</t>
  </si>
  <si>
    <t>NAMA PELAJAR</t>
  </si>
  <si>
    <t>NO MATRIK</t>
  </si>
  <si>
    <t>TAJUK PROJEK</t>
  </si>
  <si>
    <t>KATEGORI</t>
  </si>
  <si>
    <t xml:space="preserve">JUMLAH MARKAH </t>
  </si>
  <si>
    <t>ITEM</t>
  </si>
  <si>
    <t>MARKAH</t>
  </si>
  <si>
    <t>DOMAIN AFEKTIF</t>
  </si>
  <si>
    <t>A1
MENERIMA</t>
  </si>
  <si>
    <t>A2
RESPON</t>
  </si>
  <si>
    <t>A3
MENILAI</t>
  </si>
  <si>
    <r>
      <t xml:space="preserve">SOAL JAWAB
</t>
    </r>
    <r>
      <rPr>
        <i/>
        <u/>
        <sz val="11"/>
        <color theme="1"/>
        <rFont val="Aptos Narrow"/>
        <family val="2"/>
        <scheme val="minor"/>
      </rPr>
      <t>Mempamerkan</t>
    </r>
    <r>
      <rPr>
        <i/>
        <sz val="11"/>
        <color theme="1"/>
        <rFont val="Aptos Narrow"/>
        <family val="2"/>
        <scheme val="minor"/>
      </rPr>
      <t xml:space="preserve"> kefahaman yang tinggi terhadap projek</t>
    </r>
  </si>
  <si>
    <t>DOMAIN COGNITIF</t>
  </si>
  <si>
    <t>KRITERIA</t>
  </si>
  <si>
    <t>TECHNICAL PAPER</t>
  </si>
  <si>
    <t>PROJECT DEMONSTRATION</t>
  </si>
  <si>
    <t xml:space="preserve">  1. TECHNICAL REPORT (15%)</t>
  </si>
  <si>
    <t>JUMLAH MARKAH KESELURUHAN (15%)</t>
  </si>
  <si>
    <t>Plagiat &gt; 60% atau 
AI generated content &gt; 60%</t>
  </si>
  <si>
    <t>Plagiat diantara 50-60% dan 
AI generated content  50-60%</t>
  </si>
  <si>
    <t>Plagiat diantara 30-49% dan 
AI generated content  30-49%</t>
  </si>
  <si>
    <t xml:space="preserve">Plagiat diantara 10- 29% dan 
AI generated content 10- 29% </t>
  </si>
  <si>
    <t xml:space="preserve">Plagiat &lt; 10% dan 
AI generated content &lt; 10% </t>
  </si>
  <si>
    <t>Sitasi &lt;  6</t>
  </si>
  <si>
    <t>Sitasi &gt; 6, tidak terkini atau kurang sahih</t>
  </si>
  <si>
    <t>Sitasi  ≤ 6, sahih dan terkini</t>
  </si>
  <si>
    <t>Sitasi &gt; 6, sahih dan terkini</t>
  </si>
  <si>
    <t>Sitasi hanya  6</t>
  </si>
  <si>
    <t>C1
INGAT</t>
  </si>
  <si>
    <t>C3
GUNA</t>
  </si>
  <si>
    <t>C2
FAHAM</t>
  </si>
  <si>
    <r>
      <t xml:space="preserve">ABSTRAK
</t>
    </r>
    <r>
      <rPr>
        <i/>
        <u/>
        <sz val="11"/>
        <color theme="1"/>
        <rFont val="Aptos Narrow"/>
        <family val="2"/>
        <scheme val="minor"/>
      </rPr>
      <t>Menjelaskan</t>
    </r>
    <r>
      <rPr>
        <i/>
        <sz val="11"/>
        <color theme="1"/>
        <rFont val="Aptos Narrow"/>
        <family val="2"/>
        <scheme val="minor"/>
      </rPr>
      <t xml:space="preserve"> gambaran keseluruhan projek</t>
    </r>
  </si>
  <si>
    <t>Penerangan tidak jelas dan tidak lengkap.</t>
  </si>
  <si>
    <t>Penerangan kurang  jelas dan terdapat kesilapan.</t>
  </si>
  <si>
    <t>Penerangan tepat dan lengkap.</t>
  </si>
  <si>
    <r>
      <t xml:space="preserve">METODOLOGI
</t>
    </r>
    <r>
      <rPr>
        <i/>
        <u/>
        <sz val="11"/>
        <color theme="1"/>
        <rFont val="Aptos Narrow"/>
        <family val="2"/>
        <scheme val="minor"/>
      </rPr>
      <t>Menjelaskan</t>
    </r>
    <r>
      <rPr>
        <i/>
        <sz val="11"/>
        <color theme="1"/>
        <rFont val="Aptos Narrow"/>
        <family val="2"/>
        <scheme val="minor"/>
      </rPr>
      <t xml:space="preserve"> konsep rekabentuk dan prosedur pembangunan projek.</t>
    </r>
  </si>
  <si>
    <r>
      <t xml:space="preserve">PLAGIAT                                    
</t>
    </r>
    <r>
      <rPr>
        <i/>
        <u/>
        <sz val="11"/>
        <color theme="1"/>
        <rFont val="Aptos Narrow"/>
        <family val="2"/>
        <scheme val="minor"/>
      </rPr>
      <t>Melaporkan</t>
    </r>
    <r>
      <rPr>
        <i/>
        <sz val="11"/>
        <color theme="1"/>
        <rFont val="Aptos Narrow"/>
        <family val="2"/>
        <scheme val="minor"/>
      </rPr>
      <t xml:space="preserve"> kadar plagiat di dalam penulisan</t>
    </r>
  </si>
  <si>
    <t>Kesimpulan tepat, padat dan merujuk objektif laporan.</t>
  </si>
  <si>
    <t>Kesimpulan terlalu ringkas, tetapi tepat dan merujuk objektif laporan.</t>
  </si>
  <si>
    <t>Penerangan konsep / prosedur jelas, agak lengkap dan berkait antara fasa.</t>
  </si>
  <si>
    <t>Penerangan konsep / prosedur kurang  jelas, agak ringkas tetapi berkait antara fasa.</t>
  </si>
  <si>
    <t>Penerangan tidak melibatkan konsep / prosedur terlibat dalam pembangunan projek.</t>
  </si>
  <si>
    <r>
      <t xml:space="preserve">KESIMPULAN                                
</t>
    </r>
    <r>
      <rPr>
        <i/>
        <u/>
        <sz val="11"/>
        <color theme="1"/>
        <rFont val="Aptos Narrow"/>
        <family val="2"/>
        <scheme val="minor"/>
      </rPr>
      <t>Melaporkan</t>
    </r>
    <r>
      <rPr>
        <i/>
        <sz val="11"/>
        <color theme="1"/>
        <rFont val="Aptos Narrow"/>
        <family val="2"/>
        <scheme val="minor"/>
      </rPr>
      <t xml:space="preserve"> ringkasan kandungan berkaitan objektif laporan.</t>
    </r>
  </si>
  <si>
    <t>Kesimpulan memuaskan dan merujuk objektif laporan.</t>
  </si>
  <si>
    <t>Kesimpulan lemah dan kurang  tepat.</t>
  </si>
  <si>
    <t>Kesimpulan berulang / tidak jelas / tidak berkait dengan objektif laporan.</t>
  </si>
  <si>
    <t>Analisa hasil dapatan silap / tiada perbincangan.</t>
  </si>
  <si>
    <t xml:space="preserve">Analisa hasil dapatan / perbincangan maklumbalas tidak lengkap. </t>
  </si>
  <si>
    <t xml:space="preserve">Analisa hasil dapatan dan perbincangan maklumbalas memuaskan. </t>
  </si>
  <si>
    <t xml:space="preserve">Analisa hasil dapatan terperinci dan perbincangan maklumbalas dengan teliti. </t>
  </si>
  <si>
    <t xml:space="preserve">Analisa hasil dapatan ringkas dan perbincangan terlalu ringkas. </t>
  </si>
  <si>
    <r>
      <t xml:space="preserve">PENGENALAN
</t>
    </r>
    <r>
      <rPr>
        <i/>
        <u/>
        <sz val="11"/>
        <color theme="1"/>
        <rFont val="Aptos Narrow"/>
        <family val="2"/>
        <scheme val="minor"/>
      </rPr>
      <t>Menjelaskan</t>
    </r>
    <r>
      <rPr>
        <sz val="11"/>
        <color theme="1"/>
        <rFont val="Aptos Narrow"/>
        <family val="2"/>
        <scheme val="minor"/>
      </rPr>
      <t xml:space="preserve"> latarbelakang projek, pernyataan masalah  jelas</t>
    </r>
  </si>
  <si>
    <r>
      <t xml:space="preserve">KEPUTUSAN &amp; PERBINCANGAN
</t>
    </r>
    <r>
      <rPr>
        <i/>
        <u/>
        <sz val="11"/>
        <color theme="1"/>
        <rFont val="Aptos Narrow"/>
        <family val="2"/>
        <scheme val="minor"/>
      </rPr>
      <t>Membincangkan</t>
    </r>
    <r>
      <rPr>
        <i/>
        <sz val="11"/>
        <color theme="1"/>
        <rFont val="Aptos Narrow"/>
        <family val="2"/>
        <scheme val="minor"/>
      </rPr>
      <t xml:space="preserve">  hasil dapatan menggunakan analisa yang sesuai. </t>
    </r>
  </si>
  <si>
    <r>
      <t xml:space="preserve">RUJUKAN                                
</t>
    </r>
    <r>
      <rPr>
        <i/>
        <u/>
        <sz val="11"/>
        <color theme="1"/>
        <rFont val="Aptos Narrow"/>
        <family val="2"/>
        <scheme val="minor"/>
      </rPr>
      <t>Mengunakan</t>
    </r>
    <r>
      <rPr>
        <i/>
        <sz val="11"/>
        <color theme="1"/>
        <rFont val="Aptos Narrow"/>
        <family val="2"/>
        <scheme val="minor"/>
      </rPr>
      <t xml:space="preserve"> sumber rujukan yang mencukupi.</t>
    </r>
  </si>
  <si>
    <t>Maklumat tidak jelas dan mengelirukan / tiada sumber rujukan</t>
  </si>
  <si>
    <t>Penjelasan memuaskan dan menggunakan sumber terkini / relevan / sahih.</t>
  </si>
  <si>
    <t>Penjelasan tepat, menarik, lengkap dan menggunakan sumber terkini, relevan dan sahih.</t>
  </si>
  <si>
    <t>Penjelasan memuaskan dan menggunakan sumber terkini ,  relevan dan sahih.</t>
  </si>
  <si>
    <t>Penjelasan ringkas dan  menggunakan sumber outdated / tidak relevan / tidak sahih.</t>
  </si>
  <si>
    <t>Penerangan konsep dan prosedur tepat, menyeluruh  dan berkait antara fasa.</t>
  </si>
  <si>
    <t>Penerangan konsep / prosedur tidak  jelas /  sangat ringkas / tidak  berkait antara fasa.</t>
  </si>
  <si>
    <t>Penerangan memuaskan tetapi tidak menggambarkan maklumat utama.</t>
  </si>
  <si>
    <t>Penerangan jelas tetapi tidak menggambarkan maklumat utama.</t>
  </si>
  <si>
    <t xml:space="preserve">   2. PROJECT INNOVATION (10%)</t>
  </si>
  <si>
    <t>Hand coded dan 
localhost / public tunnel / emulator</t>
  </si>
  <si>
    <t>Hand coded / templat / design tools 
dan framework, 
di  free hosting /app marketplace</t>
  </si>
  <si>
    <t>Hand coded / templat / design tools dan 
localhost / public tunnel / emulator</t>
  </si>
  <si>
    <t>Basic hand coded dan
free  hosting /app marketplace</t>
  </si>
  <si>
    <t>Hand coded terperinci / templat / design tools dan  
 free hosting /app marketplace</t>
  </si>
  <si>
    <t>Ada nilai komersial</t>
  </si>
  <si>
    <t>Kurang nilai komersial</t>
  </si>
  <si>
    <t>Tiada nilai komersial</t>
  </si>
  <si>
    <t>Nilai komersial tinggi dan
hasil kerjasama komuniti / industri</t>
  </si>
  <si>
    <t>Nilai komersial tinggi, tetapi tiada  kerjasama komuniti / industri</t>
  </si>
  <si>
    <t>Beroperasi sepenuhnya sebagai satu sistem,  business process ditambahbaik secara efisyen.</t>
  </si>
  <si>
    <t>Idea asli,  amat kreatif dan membantu komuniti / masyarakat / industri</t>
  </si>
  <si>
    <t>Idea asli, kreatif dan membantu komuniti / masyarakat / industri</t>
  </si>
  <si>
    <t>Idea asli, kreatif dan kurang membantu komuniti / masyarakat / industri (kegunaan individu)</t>
  </si>
  <si>
    <t>Agak mudah difahami, konsisten</t>
  </si>
  <si>
    <t>Sangat mudah difahami, konsisten</t>
  </si>
  <si>
    <t>Mengelirukan dan tidak konsisten</t>
  </si>
  <si>
    <t>Mengelirukan dan kurang konsisten</t>
  </si>
  <si>
    <t>Mengelirukan, agak konsisten</t>
  </si>
  <si>
    <r>
      <t xml:space="preserve">REKABENTUK
</t>
    </r>
    <r>
      <rPr>
        <i/>
        <u/>
        <sz val="11"/>
        <color theme="1"/>
        <rFont val="Aptos Narrow"/>
        <family val="2"/>
        <scheme val="minor"/>
      </rPr>
      <t xml:space="preserve">Mematuhi </t>
    </r>
    <r>
      <rPr>
        <i/>
        <sz val="11"/>
        <color theme="1"/>
        <rFont val="Aptos Narrow"/>
        <family val="2"/>
        <scheme val="minor"/>
      </rPr>
      <t>rekabentuk seragam dan mesra pengguna</t>
    </r>
  </si>
  <si>
    <t xml:space="preserve">P2
GUNA </t>
  </si>
  <si>
    <r>
      <t xml:space="preserve">TEKNOLOGI
</t>
    </r>
    <r>
      <rPr>
        <i/>
        <u/>
        <sz val="11"/>
        <color theme="1"/>
        <rFont val="Aptos Narrow"/>
        <family val="2"/>
        <scheme val="minor"/>
      </rPr>
      <t>Menggunakan</t>
    </r>
    <r>
      <rPr>
        <i/>
        <sz val="11"/>
        <color theme="1"/>
        <rFont val="Aptos Narrow"/>
        <family val="2"/>
        <scheme val="minor"/>
      </rPr>
      <t xml:space="preserve"> teknologi dan peralatan bersesuaian</t>
    </r>
  </si>
  <si>
    <t>P1
IKUT</t>
  </si>
  <si>
    <t>Beroperasi separa dengan ralat major, mengekalkan business process sedia ada sebagai langkah automasi</t>
  </si>
  <si>
    <t>Beroperasi berasingan modul, mengekalkan business process sedia ada sebagai  automasi</t>
  </si>
  <si>
    <t>Beroperasi sepenuhnya sebagai satu sistem dengan ralat minor,  business process perlu penambahbaikan</t>
  </si>
  <si>
    <t xml:space="preserve"> Tidak beroperasi langsung / projek tidak siap sepenuhnya / tiada pemahaman  business process.</t>
  </si>
  <si>
    <t>P4
ARTIKULASI</t>
  </si>
  <si>
    <t>P3
KETEPATAN</t>
  </si>
  <si>
    <r>
      <t xml:space="preserve">FUNGSI
</t>
    </r>
    <r>
      <rPr>
        <i/>
        <u/>
        <sz val="11"/>
        <color theme="1"/>
        <rFont val="Aptos Narrow"/>
        <family val="2"/>
        <scheme val="minor"/>
      </rPr>
      <t>Membangunkan</t>
    </r>
    <r>
      <rPr>
        <i/>
        <sz val="11"/>
        <color theme="1"/>
        <rFont val="Aptos Narrow"/>
        <family val="2"/>
        <scheme val="minor"/>
      </rPr>
      <t xml:space="preserve"> projek yang efisyen.</t>
    </r>
  </si>
  <si>
    <r>
      <t xml:space="preserve">KEBOLEHPASARAN
</t>
    </r>
    <r>
      <rPr>
        <i/>
        <u/>
        <sz val="11"/>
        <color theme="1"/>
        <rFont val="Aptos Narrow"/>
        <family val="2"/>
        <scheme val="minor"/>
      </rPr>
      <t>Menghasilkan</t>
    </r>
    <r>
      <rPr>
        <i/>
        <sz val="11"/>
        <color theme="1"/>
        <rFont val="Aptos Narrow"/>
        <family val="2"/>
        <scheme val="minor"/>
      </rPr>
      <t xml:space="preserve"> projek bernilai tinggi dengan kerjasama komuniti / industri</t>
    </r>
  </si>
  <si>
    <r>
      <t xml:space="preserve">INOVASI
</t>
    </r>
    <r>
      <rPr>
        <i/>
        <u/>
        <sz val="11"/>
        <color theme="1"/>
        <rFont val="Aptos Narrow"/>
        <family val="2"/>
        <scheme val="minor"/>
      </rPr>
      <t>Menunjukkan</t>
    </r>
    <r>
      <rPr>
        <i/>
        <sz val="11"/>
        <color theme="1"/>
        <rFont val="Aptos Narrow"/>
        <family val="2"/>
        <scheme val="minor"/>
      </rPr>
      <t xml:space="preserve"> inovasi asli, kreatif untuk  komuniti / masyarakat / industri</t>
    </r>
  </si>
  <si>
    <t xml:space="preserve">  3. PROJECT DEMONSTRATION (10%)</t>
  </si>
  <si>
    <t>Tidak sopan dan menolak pendapat</t>
  </si>
  <si>
    <t>Sopan dan menerima pendapat</t>
  </si>
  <si>
    <t>Sopan, menerima pendapat dan memberi cadangan / penambahbaikan</t>
  </si>
  <si>
    <t>Kurang sopan dan kurang menerima pendapat</t>
  </si>
  <si>
    <t>Sopan, tetapi maklumbalas ringkas / tiada pendapat</t>
  </si>
  <si>
    <t>Pelajar 1</t>
  </si>
  <si>
    <t>Pelajar 2</t>
  </si>
  <si>
    <t>Pelajar 3</t>
  </si>
  <si>
    <t>Lengkap &amp; memuaskan</t>
  </si>
  <si>
    <t>Lengkap, mudah difahami dan menarik</t>
  </si>
  <si>
    <t>Kurang lengkap, sukar difahami</t>
  </si>
  <si>
    <t>Penyediaan tidak selesai</t>
  </si>
  <si>
    <t>Tidak lengkap dan mengelirukan</t>
  </si>
  <si>
    <r>
      <t xml:space="preserve">POSTER
</t>
    </r>
    <r>
      <rPr>
        <i/>
        <u/>
        <sz val="11"/>
        <color theme="1"/>
        <rFont val="Aptos Narrow"/>
        <family val="2"/>
        <scheme val="minor"/>
      </rPr>
      <t>Menyediakan</t>
    </r>
    <r>
      <rPr>
        <i/>
        <sz val="11"/>
        <color theme="1"/>
        <rFont val="Aptos Narrow"/>
        <family val="2"/>
        <scheme val="minor"/>
      </rPr>
      <t xml:space="preserve"> kandungan dengan lengkap</t>
    </r>
  </si>
  <si>
    <t>Tidak berupaya menjawab semua soalan / tidak berusaha langsung untuk menjawab soalan</t>
  </si>
  <si>
    <r>
      <t xml:space="preserve">VIDEO
</t>
    </r>
    <r>
      <rPr>
        <i/>
        <u/>
        <sz val="11"/>
        <color theme="1"/>
        <rFont val="Aptos Narrow"/>
        <family val="2"/>
        <scheme val="minor"/>
      </rPr>
      <t>Menunjukkan</t>
    </r>
    <r>
      <rPr>
        <i/>
        <sz val="11"/>
        <color theme="1"/>
        <rFont val="Aptos Narrow"/>
        <family val="2"/>
        <scheme val="minor"/>
      </rPr>
      <t xml:space="preserve"> sumbangan dan nilai projek</t>
    </r>
  </si>
  <si>
    <r>
      <t xml:space="preserve">KOMUNIKASI
</t>
    </r>
    <r>
      <rPr>
        <i/>
        <u/>
        <sz val="11"/>
        <color theme="1"/>
        <rFont val="Aptos Narrow"/>
        <family val="2"/>
        <scheme val="minor"/>
      </rPr>
      <t>Mempamerkan</t>
    </r>
    <r>
      <rPr>
        <i/>
        <sz val="11"/>
        <color theme="1"/>
        <rFont val="Aptos Narrow"/>
        <family val="2"/>
        <scheme val="minor"/>
      </rPr>
      <t xml:space="preserve"> maklumbalas / pendapat</t>
    </r>
  </si>
  <si>
    <t>Kreatif, lengkap &amp; memuaskan</t>
  </si>
  <si>
    <r>
      <t xml:space="preserve">BOOTH PAMERAN
</t>
    </r>
    <r>
      <rPr>
        <i/>
        <sz val="11"/>
        <color theme="1"/>
        <rFont val="Aptos Narrow"/>
        <family val="2"/>
        <scheme val="minor"/>
      </rPr>
      <t>Kesediaan menerima cadangan panel ke dalam projek</t>
    </r>
  </si>
  <si>
    <t>Tidak kreatif &amp; tidak lengkap</t>
  </si>
  <si>
    <t>Tidak kreatif &amp;  tidak menggambarkan maklumat utama</t>
  </si>
  <si>
    <t>Kreatif tetapi kurang menggambarkan maklumat utama</t>
  </si>
  <si>
    <t>Kreatif, lengkap &amp; menarik</t>
  </si>
  <si>
    <t>Sangat menarik, ramah &amp; tersusun</t>
  </si>
  <si>
    <t>Tiada selamat / tidak tersusun</t>
  </si>
  <si>
    <t>Ramah dan tersusun</t>
  </si>
  <si>
    <t>Sopan, kurang tersusun</t>
  </si>
  <si>
    <t>Neutral, tidak tersusun</t>
  </si>
  <si>
    <t>Menjawab beberapa soalan dengan betul</t>
  </si>
  <si>
    <t>Menjawab kebanyakan soalan dengan tepat dan yakin</t>
  </si>
  <si>
    <t>Menjawab semua soalan dengan tepat dan yakin</t>
  </si>
  <si>
    <t>Jawapan menunjukkan kurang kefahaman terhadap projek</t>
  </si>
  <si>
    <t>Idea tidak asli, kurang kreatif untuk   komuniti / masyarakat / industri</t>
  </si>
  <si>
    <t>Idea tidak asli,  tidak kreatif untuk  komuniti / masyarakat / industri.</t>
  </si>
  <si>
    <t>PROJECT INNOVATION</t>
  </si>
  <si>
    <t>PELAJAR 1</t>
  </si>
  <si>
    <t>PELAJAR 2</t>
  </si>
  <si>
    <t>PELAJAR 3</t>
  </si>
  <si>
    <t>JUMLAH KESELURUHAN (35%)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</si>
</sst>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EB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88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0" borderId="18" xfId="0" applyBorder="1"/>
    <xf numFmtId="0" fontId="0" fillId="0" borderId="11" xfId="0" applyBorder="1"/>
    <xf numFmtId="0" fontId="0" fillId="0" borderId="9" xfId="0" applyBorder="1" applyAlignment="1">
      <alignment horizontal="center"/>
    </xf>
    <xf numFmtId="0" fontId="0" fillId="0" borderId="2" xfId="0" applyBorder="1"/>
    <xf numFmtId="0" fontId="3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0" fillId="4" borderId="9" xfId="0" applyFill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8" borderId="9" xfId="0" applyFont="1" applyFill="1" applyBorder="1" applyAlignment="1" applyProtection="1">
      <alignment horizontal="center" vertical="center" wrapText="1"/>
      <protection locked="0"/>
    </xf>
    <xf numFmtId="0" fontId="0" fillId="4" borderId="20" xfId="0" applyFill="1" applyBorder="1" applyAlignment="1" applyProtection="1">
      <alignment horizontal="center" vertical="center"/>
      <protection locked="0"/>
    </xf>
    <xf numFmtId="0" fontId="0" fillId="4" borderId="24" xfId="0" applyFill="1" applyBorder="1" applyAlignment="1" applyProtection="1">
      <alignment horizontal="center" vertical="center"/>
      <protection locked="0"/>
    </xf>
    <xf numFmtId="0" fontId="0" fillId="6" borderId="9" xfId="0" applyFill="1" applyBorder="1" applyAlignment="1" applyProtection="1">
      <alignment horizontal="center" vertical="center"/>
      <protection locked="0"/>
    </xf>
    <xf numFmtId="0" fontId="1" fillId="4" borderId="9" xfId="0" applyFont="1" applyFill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0" fillId="6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6" borderId="15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 wrapText="1"/>
    </xf>
    <xf numFmtId="0" fontId="3" fillId="9" borderId="15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9" borderId="10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right"/>
    </xf>
    <xf numFmtId="0" fontId="4" fillId="0" borderId="19" xfId="0" applyFont="1" applyBorder="1" applyAlignment="1">
      <alignment horizontal="right"/>
    </xf>
    <xf numFmtId="0" fontId="4" fillId="0" borderId="17" xfId="0" applyFont="1" applyBorder="1" applyAlignment="1">
      <alignment horizontal="right"/>
    </xf>
    <xf numFmtId="0" fontId="0" fillId="4" borderId="12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2" fillId="4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4" xfId="0" applyFill="1" applyBorder="1" applyAlignment="1" applyProtection="1">
      <alignment horizontal="center" vertical="center"/>
      <protection locked="0"/>
    </xf>
    <xf numFmtId="0" fontId="0" fillId="3" borderId="5" xfId="0" applyFill="1" applyBorder="1" applyAlignment="1" applyProtection="1">
      <alignment horizontal="center" vertical="center"/>
      <protection locked="0"/>
    </xf>
    <xf numFmtId="0" fontId="0" fillId="3" borderId="6" xfId="0" applyFill="1" applyBorder="1" applyAlignment="1" applyProtection="1">
      <alignment horizontal="center" vertical="center"/>
      <protection locked="0"/>
    </xf>
    <xf numFmtId="0" fontId="0" fillId="3" borderId="8" xfId="0" applyFill="1" applyBorder="1" applyAlignment="1" applyProtection="1">
      <alignment horizontal="center" vertical="center"/>
      <protection locked="0"/>
    </xf>
    <xf numFmtId="0" fontId="3" fillId="8" borderId="9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0" fillId="4" borderId="15" xfId="0" applyFill="1" applyBorder="1" applyAlignment="1" applyProtection="1">
      <alignment horizontal="center" vertical="center"/>
      <protection locked="0"/>
    </xf>
    <xf numFmtId="0" fontId="0" fillId="4" borderId="9" xfId="0" applyFill="1" applyBorder="1" applyAlignment="1" applyProtection="1">
      <alignment horizontal="center" vertical="center"/>
      <protection locked="0"/>
    </xf>
    <xf numFmtId="0" fontId="0" fillId="3" borderId="15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0" fillId="7" borderId="1" xfId="0" applyFill="1" applyBorder="1" applyAlignment="1" applyProtection="1">
      <alignment horizontal="center" vertical="center"/>
      <protection locked="0"/>
    </xf>
    <xf numFmtId="0" fontId="0" fillId="7" borderId="3" xfId="0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horizontal="center" vertical="center"/>
      <protection locked="0"/>
    </xf>
    <xf numFmtId="0" fontId="0" fillId="7" borderId="8" xfId="0" applyFill="1" applyBorder="1" applyAlignment="1" applyProtection="1">
      <alignment horizontal="center" vertical="center"/>
      <protection locked="0"/>
    </xf>
    <xf numFmtId="0" fontId="0" fillId="6" borderId="1" xfId="0" applyFill="1" applyBorder="1" applyAlignment="1" applyProtection="1">
      <alignment horizontal="center" vertical="center"/>
      <protection locked="0"/>
    </xf>
    <xf numFmtId="0" fontId="0" fillId="6" borderId="3" xfId="0" applyFill="1" applyBorder="1" applyAlignment="1" applyProtection="1">
      <alignment horizontal="center" vertical="center"/>
      <protection locked="0"/>
    </xf>
    <xf numFmtId="0" fontId="0" fillId="6" borderId="6" xfId="0" applyFill="1" applyBorder="1" applyAlignment="1" applyProtection="1">
      <alignment horizontal="center" vertical="center"/>
      <protection locked="0"/>
    </xf>
    <xf numFmtId="0" fontId="0" fillId="6" borderId="8" xfId="0" applyFill="1" applyBorder="1" applyAlignment="1" applyProtection="1">
      <alignment horizontal="center" vertical="center"/>
      <protection locked="0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1" fillId="7" borderId="21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right"/>
    </xf>
    <xf numFmtId="0" fontId="1" fillId="10" borderId="9" xfId="0" applyFont="1" applyFill="1" applyBorder="1" applyAlignment="1">
      <alignment horizontal="center" vertical="center" wrapText="1"/>
    </xf>
    <xf numFmtId="0" fontId="1" fillId="10" borderId="9" xfId="0" applyFont="1" applyFill="1" applyBorder="1" applyAlignment="1">
      <alignment horizontal="center" vertical="center"/>
    </xf>
    <xf numFmtId="0" fontId="0" fillId="10" borderId="1" xfId="0" applyFill="1" applyBorder="1" applyAlignment="1" applyProtection="1">
      <alignment horizontal="center" vertical="center"/>
      <protection locked="0"/>
    </xf>
    <xf numFmtId="0" fontId="0" fillId="10" borderId="3" xfId="0" applyFill="1" applyBorder="1" applyAlignment="1" applyProtection="1">
      <alignment horizontal="center" vertical="center"/>
      <protection locked="0"/>
    </xf>
    <xf numFmtId="0" fontId="0" fillId="10" borderId="6" xfId="0" applyFill="1" applyBorder="1" applyAlignment="1" applyProtection="1">
      <alignment horizontal="center" vertical="center"/>
      <protection locked="0"/>
    </xf>
    <xf numFmtId="0" fontId="0" fillId="10" borderId="8" xfId="0" applyFill="1" applyBorder="1" applyAlignment="1" applyProtection="1">
      <alignment horizontal="center" vertical="center"/>
      <protection locked="0"/>
    </xf>
    <xf numFmtId="0" fontId="3" fillId="8" borderId="1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0" fillId="6" borderId="4" xfId="0" applyFill="1" applyBorder="1" applyAlignment="1" applyProtection="1">
      <alignment horizontal="center" vertical="center"/>
      <protection locked="0"/>
    </xf>
    <xf numFmtId="0" fontId="0" fillId="6" borderId="5" xfId="0" applyFill="1" applyBorder="1" applyAlignment="1" applyProtection="1">
      <alignment horizontal="center" vertical="center"/>
      <protection locked="0"/>
    </xf>
    <xf numFmtId="0" fontId="3" fillId="8" borderId="2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22" xfId="0" applyFont="1" applyBorder="1" applyAlignment="1">
      <alignment horizontal="right" vertical="center"/>
    </xf>
    <xf numFmtId="0" fontId="4" fillId="0" borderId="23" xfId="0" applyFont="1" applyBorder="1" applyAlignment="1">
      <alignment horizontal="right" vertical="center"/>
    </xf>
    <xf numFmtId="0" fontId="1" fillId="6" borderId="20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E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177800</xdr:colOff>
      <xdr:row>3</xdr:row>
      <xdr:rowOff>88900</xdr:rowOff>
    </xdr:from>
    <xdr:to>
      <xdr:col>4</xdr:col>
      <xdr:colOff>841660</xdr:colOff>
      <xdr:row>8</xdr:row>
      <xdr:rowOff>53340</xdr:rowOff>
    </xdr:to>
    <xdr:pic>
      <xdr:nvPicPr>
        <xdr:cNvPr id="2" name="irc_mi" descr="Hasil carian imej untuk uthm">
          <a:extLst>
            <a:ext uri="{FF2B5EF4-FFF2-40B4-BE49-F238E27FC236}">
              <a16:creationId xmlns:a16="http://schemas.microsoft.com/office/drawing/2014/main" id="{2DD92DF3-8A00-4840-AB50-5F7E0EC92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9860" y="683260"/>
          <a:ext cx="3003200" cy="81788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4</xdr:col>
      <xdr:colOff>228600</xdr:colOff>
      <xdr:row>2</xdr:row>
      <xdr:rowOff>127000</xdr:rowOff>
    </xdr:from>
    <xdr:ext cx="9664700" cy="13081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BE02E0A-3B36-4EBD-B653-6DF3DA159E95}"/>
            </a:ext>
          </a:extLst>
        </xdr:cNvPr>
        <xdr:cNvSpPr txBox="1"/>
      </xdr:nvSpPr>
      <xdr:spPr>
        <a:xfrm>
          <a:off x="5029200" y="523240"/>
          <a:ext cx="9664700" cy="1308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800" b="1">
              <a:latin typeface="Times New Roman" panose="02020603050405020304" pitchFamily="18" charset="0"/>
              <a:cs typeface="Times New Roman" panose="02020603050405020304" pitchFamily="18" charset="0"/>
            </a:rPr>
            <a:t>JABATAN</a:t>
          </a:r>
          <a:r>
            <a:rPr lang="en-GB" sz="18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TEKNOLOGI MAKLUMAT</a:t>
          </a:r>
        </a:p>
        <a:p>
          <a:pPr algn="ctr"/>
          <a:r>
            <a:rPr lang="en-GB" sz="18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PUSAT PENGAJIAN DIPLOMA</a:t>
          </a:r>
        </a:p>
        <a:p>
          <a:pPr algn="ctr"/>
          <a:r>
            <a:rPr lang="en-GB" sz="18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PROJEK DIPLOMA (DAT 21101)</a:t>
          </a:r>
        </a:p>
        <a:p>
          <a:pPr algn="ctr"/>
          <a:r>
            <a:rPr lang="en-GB" sz="18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RUBRIK PENYELIA</a:t>
          </a:r>
        </a:p>
        <a:p>
          <a:pPr algn="ctr"/>
          <a:endParaRPr lang="en-GB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15</xdr:col>
      <xdr:colOff>50800</xdr:colOff>
      <xdr:row>1</xdr:row>
      <xdr:rowOff>50800</xdr:rowOff>
    </xdr:from>
    <xdr:to>
      <xdr:col>19</xdr:col>
      <xdr:colOff>212955</xdr:colOff>
      <xdr:row>10</xdr:row>
      <xdr:rowOff>246406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81B664A-D361-454A-8FB2-7E41BC067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7460" y="248920"/>
          <a:ext cx="2600554" cy="17348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990599</xdr:colOff>
      <xdr:row>1</xdr:row>
      <xdr:rowOff>10885</xdr:rowOff>
    </xdr:from>
    <xdr:ext cx="12386211" cy="59336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9BAA9F7-9FF7-4046-9AA6-4CC4428DB035}"/>
            </a:ext>
          </a:extLst>
        </xdr:cNvPr>
        <xdr:cNvSpPr txBox="1"/>
      </xdr:nvSpPr>
      <xdr:spPr>
        <a:xfrm>
          <a:off x="6150428" y="195942"/>
          <a:ext cx="12386211" cy="5933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 b="1"/>
            <a:t>CLO 2 : Demonstrate effective teamwork and clear communication in decision making process for project development (PLO4, LOD7, MQF3b, C3)</a:t>
          </a:r>
          <a:br>
            <a:rPr lang="en-MY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MY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</a:t>
          </a:r>
          <a:r>
            <a:rPr lang="en-MY" sz="16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                                                                                                                                                              </a:t>
          </a:r>
          <a:r>
            <a:rPr lang="en-MY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(Teamwork</a:t>
          </a:r>
          <a:r>
            <a:rPr lang="en-MY" sz="16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skills</a:t>
          </a:r>
          <a:r>
            <a:rPr lang="en-MY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Applying)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1077685</xdr:colOff>
      <xdr:row>1</xdr:row>
      <xdr:rowOff>1</xdr:rowOff>
    </xdr:from>
    <xdr:ext cx="10472057" cy="59336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97F69E7-AFD9-4639-8A69-F464D3B7E223}"/>
            </a:ext>
          </a:extLst>
        </xdr:cNvPr>
        <xdr:cNvSpPr txBox="1"/>
      </xdr:nvSpPr>
      <xdr:spPr>
        <a:xfrm>
          <a:off x="8044542" y="185058"/>
          <a:ext cx="10472057" cy="5933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CLO 1: Develop application or system to solve problems using latest technology tools or software (PLO3, LOD5, MQF3a, P4)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                                                                                                                   (Practical skills,  Arcticulation)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1262743</xdr:colOff>
      <xdr:row>1</xdr:row>
      <xdr:rowOff>1</xdr:rowOff>
    </xdr:from>
    <xdr:ext cx="12409714" cy="59336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1E244ED-26FA-41BE-AD53-E738C5F6BF7A}"/>
            </a:ext>
          </a:extLst>
        </xdr:cNvPr>
        <xdr:cNvSpPr txBox="1"/>
      </xdr:nvSpPr>
      <xdr:spPr>
        <a:xfrm>
          <a:off x="6106886" y="185058"/>
          <a:ext cx="12409714" cy="5933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CLO 2 : Demonstrate effective teamwork and clear communication in decision making process for project development (PLO4, LOD7, MQF3b, C3)</a:t>
          </a:r>
          <a:br>
            <a:rPr lang="en-GB" sz="16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GB" sz="16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                                                                                                                                                                             (Teamwork skills, Applying)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4291-7869-4C44-B56E-88D6C289D230}">
  <sheetPr>
    <tabColor rgb="FFFFC000"/>
  </sheetPr>
  <dimension ref="A1:S34"/>
  <sheetViews>
    <sheetView zoomScale="70" zoomScaleNormal="70" workbookViewId="0">
      <selection activeCell="M38" sqref="M38"/>
    </sheetView>
  </sheetViews>
  <sheetFormatPr defaultColWidth="12.44140625" defaultRowHeight="14.4" x14ac:dyDescent="0.3"/>
  <cols>
    <col min="1" max="1" width="18.109375" customWidth="1"/>
    <col min="3" max="3" width="27.44140625" customWidth="1"/>
    <col min="4" max="4" width="12" customWidth="1"/>
    <col min="5" max="5" width="17.21875" customWidth="1"/>
    <col min="6" max="6" width="7.5546875" customWidth="1"/>
    <col min="7" max="7" width="17.44140625" customWidth="1"/>
    <col min="12" max="12" width="15.44140625" customWidth="1"/>
    <col min="13" max="13" width="16.44140625" customWidth="1"/>
  </cols>
  <sheetData>
    <row r="1" spans="1:19" s="1" customFormat="1" x14ac:dyDescent="0.3">
      <c r="A1"/>
    </row>
    <row r="3" spans="1:19" x14ac:dyDescent="0.3">
      <c r="A3" s="83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5"/>
    </row>
    <row r="4" spans="1:19" x14ac:dyDescent="0.3">
      <c r="A4" s="86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8"/>
    </row>
    <row r="5" spans="1:19" x14ac:dyDescent="0.3">
      <c r="A5" s="86"/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8"/>
    </row>
    <row r="6" spans="1:19" x14ac:dyDescent="0.3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8"/>
    </row>
    <row r="7" spans="1:19" x14ac:dyDescent="0.3">
      <c r="A7" s="86"/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8"/>
    </row>
    <row r="8" spans="1:19" x14ac:dyDescent="0.3">
      <c r="A8" s="86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8"/>
    </row>
    <row r="9" spans="1:19" x14ac:dyDescent="0.3">
      <c r="A9" s="89"/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1"/>
    </row>
    <row r="11" spans="1:19" ht="21" x14ac:dyDescent="0.4">
      <c r="A11" s="92" t="s">
        <v>10</v>
      </c>
      <c r="B11" s="93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4"/>
    </row>
    <row r="12" spans="1:19" x14ac:dyDescent="0.3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4"/>
    </row>
    <row r="13" spans="1:19" ht="25.2" customHeight="1" x14ac:dyDescent="0.3">
      <c r="A13" s="7" t="s">
        <v>11</v>
      </c>
      <c r="B13" s="95" t="s">
        <v>12</v>
      </c>
      <c r="C13" s="96"/>
      <c r="D13" s="96"/>
      <c r="E13" s="96"/>
      <c r="F13" s="96"/>
      <c r="G13" s="96"/>
      <c r="H13" s="97"/>
      <c r="I13" s="95" t="s">
        <v>13</v>
      </c>
      <c r="J13" s="96"/>
      <c r="K13" s="97"/>
      <c r="L13" s="95" t="s">
        <v>14</v>
      </c>
      <c r="M13" s="96"/>
      <c r="N13" s="96"/>
      <c r="O13" s="96"/>
      <c r="P13" s="96"/>
      <c r="Q13" s="97"/>
      <c r="R13" s="95" t="s">
        <v>15</v>
      </c>
      <c r="S13" s="97"/>
    </row>
    <row r="14" spans="1:19" ht="18" customHeight="1" x14ac:dyDescent="0.3">
      <c r="A14" s="5">
        <v>1</v>
      </c>
      <c r="B14" s="74"/>
      <c r="C14" s="75"/>
      <c r="D14" s="75"/>
      <c r="E14" s="75"/>
      <c r="F14" s="75"/>
      <c r="G14" s="75"/>
      <c r="H14" s="76"/>
      <c r="I14" s="74"/>
      <c r="J14" s="75"/>
      <c r="K14" s="76"/>
      <c r="L14" s="77"/>
      <c r="M14" s="78"/>
      <c r="N14" s="78"/>
      <c r="O14" s="78"/>
      <c r="P14" s="78"/>
      <c r="Q14" s="79"/>
      <c r="R14" s="77"/>
      <c r="S14" s="79"/>
    </row>
    <row r="15" spans="1:19" ht="18" customHeight="1" x14ac:dyDescent="0.3">
      <c r="A15" s="5">
        <v>2</v>
      </c>
      <c r="B15" s="74"/>
      <c r="C15" s="75"/>
      <c r="D15" s="75"/>
      <c r="E15" s="75"/>
      <c r="F15" s="75"/>
      <c r="G15" s="75"/>
      <c r="H15" s="76"/>
      <c r="I15" s="74"/>
      <c r="J15" s="75"/>
      <c r="K15" s="76"/>
      <c r="L15" s="80"/>
      <c r="M15" s="81"/>
      <c r="N15" s="81"/>
      <c r="O15" s="81"/>
      <c r="P15" s="81"/>
      <c r="Q15" s="82"/>
      <c r="R15" s="80"/>
      <c r="S15" s="82"/>
    </row>
    <row r="16" spans="1:19" ht="18" customHeight="1" x14ac:dyDescent="0.3">
      <c r="A16" s="5">
        <v>3</v>
      </c>
      <c r="B16" s="74"/>
      <c r="C16" s="75"/>
      <c r="D16" s="75"/>
      <c r="E16" s="75"/>
      <c r="F16" s="75"/>
      <c r="G16" s="75"/>
      <c r="H16" s="76"/>
      <c r="I16" s="74"/>
      <c r="J16" s="75"/>
      <c r="K16" s="76"/>
      <c r="L16" s="80"/>
      <c r="M16" s="81"/>
      <c r="N16" s="81"/>
      <c r="O16" s="81"/>
      <c r="P16" s="81"/>
      <c r="Q16" s="82"/>
      <c r="R16" s="80"/>
      <c r="S16" s="82"/>
    </row>
    <row r="17" spans="1:19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21" spans="1:19" x14ac:dyDescent="0.3">
      <c r="A21" s="73" t="s">
        <v>16</v>
      </c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</row>
    <row r="22" spans="1:19" x14ac:dyDescent="0.3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</row>
    <row r="25" spans="1:19" x14ac:dyDescent="0.3">
      <c r="F25" s="71" t="s">
        <v>11</v>
      </c>
      <c r="G25" s="71" t="s">
        <v>17</v>
      </c>
      <c r="H25" s="71"/>
      <c r="I25" s="71"/>
      <c r="J25" s="71" t="s">
        <v>18</v>
      </c>
      <c r="K25" s="71"/>
      <c r="L25" s="71"/>
    </row>
    <row r="26" spans="1:19" x14ac:dyDescent="0.3">
      <c r="F26" s="71"/>
      <c r="G26" s="71"/>
      <c r="H26" s="71"/>
      <c r="I26" s="71"/>
      <c r="J26" s="71"/>
      <c r="K26" s="71"/>
      <c r="L26" s="71"/>
    </row>
    <row r="27" spans="1:19" x14ac:dyDescent="0.3">
      <c r="F27" s="72">
        <v>2</v>
      </c>
      <c r="G27" s="72" t="s">
        <v>26</v>
      </c>
      <c r="H27" s="72"/>
      <c r="I27" s="72"/>
      <c r="J27" s="72">
        <f>'TECHNICAL REPORT (15%)'!T22</f>
        <v>0</v>
      </c>
      <c r="K27" s="72"/>
      <c r="L27" s="72"/>
    </row>
    <row r="28" spans="1:19" x14ac:dyDescent="0.3">
      <c r="F28" s="72"/>
      <c r="G28" s="72"/>
      <c r="H28" s="72"/>
      <c r="I28" s="72"/>
      <c r="J28" s="72"/>
      <c r="K28" s="72"/>
      <c r="L28" s="72"/>
    </row>
    <row r="29" spans="1:19" x14ac:dyDescent="0.3">
      <c r="F29" s="72">
        <v>3</v>
      </c>
      <c r="G29" s="72" t="s">
        <v>143</v>
      </c>
      <c r="H29" s="72"/>
      <c r="I29" s="72"/>
      <c r="J29" s="72">
        <f>'PROJECT INNOVATION (10%)'!T18</f>
        <v>0</v>
      </c>
      <c r="K29" s="72"/>
      <c r="L29" s="72"/>
    </row>
    <row r="30" spans="1:19" x14ac:dyDescent="0.3">
      <c r="F30" s="72"/>
      <c r="G30" s="72"/>
      <c r="H30" s="72"/>
      <c r="I30" s="72"/>
      <c r="J30" s="72"/>
      <c r="K30" s="72"/>
      <c r="L30" s="72"/>
    </row>
    <row r="31" spans="1:19" x14ac:dyDescent="0.3">
      <c r="F31" s="72">
        <v>3</v>
      </c>
      <c r="G31" s="72" t="s">
        <v>27</v>
      </c>
      <c r="H31" s="72"/>
      <c r="I31" s="72"/>
      <c r="J31" s="23" t="s">
        <v>144</v>
      </c>
      <c r="K31" s="23" t="s">
        <v>145</v>
      </c>
      <c r="L31" s="23" t="s">
        <v>146</v>
      </c>
    </row>
    <row r="32" spans="1:19" ht="24" customHeight="1" x14ac:dyDescent="0.3">
      <c r="F32" s="72"/>
      <c r="G32" s="72"/>
      <c r="H32" s="72"/>
      <c r="I32" s="72"/>
      <c r="J32" s="15">
        <f>'PROJECT DEMONSTRATION (10%)'!U19</f>
        <v>0</v>
      </c>
      <c r="K32" s="15">
        <f>'PROJECT DEMONSTRATION (10%)'!V19</f>
        <v>0</v>
      </c>
      <c r="L32" s="15">
        <f>'PROJECT DEMONSTRATION (10%)'!W19</f>
        <v>0</v>
      </c>
    </row>
    <row r="33" spans="6:12" ht="14.4" customHeight="1" x14ac:dyDescent="0.3">
      <c r="F33" s="71" t="s">
        <v>147</v>
      </c>
      <c r="G33" s="71"/>
      <c r="H33" s="71"/>
      <c r="I33" s="71"/>
      <c r="J33" s="23" t="s">
        <v>144</v>
      </c>
      <c r="K33" s="23" t="s">
        <v>145</v>
      </c>
      <c r="L33" s="23" t="s">
        <v>146</v>
      </c>
    </row>
    <row r="34" spans="6:12" ht="15.6" x14ac:dyDescent="0.3">
      <c r="F34" s="71"/>
      <c r="G34" s="71"/>
      <c r="H34" s="71"/>
      <c r="I34" s="71"/>
      <c r="J34" s="24">
        <f>J27+J29+J32</f>
        <v>0</v>
      </c>
      <c r="K34" s="24">
        <f>J27+J29+K32</f>
        <v>0</v>
      </c>
      <c r="L34" s="24">
        <f>J27+J29+L32</f>
        <v>0</v>
      </c>
    </row>
  </sheetData>
  <mergeCells count="27">
    <mergeCell ref="A3:S9"/>
    <mergeCell ref="A11:S11"/>
    <mergeCell ref="B13:H13"/>
    <mergeCell ref="I13:K13"/>
    <mergeCell ref="L13:Q13"/>
    <mergeCell ref="R13:S13"/>
    <mergeCell ref="A21:S22"/>
    <mergeCell ref="F25:F26"/>
    <mergeCell ref="G25:I26"/>
    <mergeCell ref="J25:L26"/>
    <mergeCell ref="B14:H14"/>
    <mergeCell ref="I14:K14"/>
    <mergeCell ref="L14:Q16"/>
    <mergeCell ref="R14:S16"/>
    <mergeCell ref="B15:H15"/>
    <mergeCell ref="I15:K15"/>
    <mergeCell ref="B16:H16"/>
    <mergeCell ref="I16:K16"/>
    <mergeCell ref="F33:I34"/>
    <mergeCell ref="F27:F28"/>
    <mergeCell ref="G27:I28"/>
    <mergeCell ref="J27:L28"/>
    <mergeCell ref="F31:F32"/>
    <mergeCell ref="G31:I32"/>
    <mergeCell ref="F29:F30"/>
    <mergeCell ref="G29:I30"/>
    <mergeCell ref="J29:L30"/>
  </mergeCells>
  <dataValidations count="1">
    <dataValidation type="list" showInputMessage="1" showErrorMessage="1" sqref="R14:S16" xr:uid="{2D08D15E-A58E-45D1-8AC3-827CD4DBB46B}">
      <formula1>"K1: SYSTEM, K2: MULTIMEDIA/APLIKASI, K3: HIBRID"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3AC2E-5785-4919-9A17-E8C29CE063E8}">
  <sheetPr>
    <tabColor theme="8" tint="0.39997558519241921"/>
  </sheetPr>
  <dimension ref="B2:U23"/>
  <sheetViews>
    <sheetView zoomScale="70" zoomScaleNormal="70" workbookViewId="0">
      <selection activeCell="R8" sqref="R8:S21"/>
    </sheetView>
  </sheetViews>
  <sheetFormatPr defaultColWidth="12.44140625" defaultRowHeight="14.4" x14ac:dyDescent="0.3"/>
  <cols>
    <col min="1" max="1" width="5.77734375" customWidth="1"/>
    <col min="2" max="2" width="13.77734375" customWidth="1"/>
    <col min="5" max="5" width="14.77734375" customWidth="1"/>
    <col min="6" max="6" width="16.109375" customWidth="1"/>
    <col min="7" max="7" width="19.21875" customWidth="1"/>
    <col min="9" max="9" width="18" customWidth="1"/>
    <col min="11" max="11" width="18.44140625" customWidth="1"/>
    <col min="13" max="13" width="18" customWidth="1"/>
    <col min="15" max="15" width="22.21875" customWidth="1"/>
    <col min="16" max="16" width="9.5546875" customWidth="1"/>
    <col min="17" max="17" width="3.6640625" customWidth="1"/>
    <col min="18" max="19" width="5.77734375" customWidth="1"/>
  </cols>
  <sheetData>
    <row r="2" spans="2:21" ht="14.4" customHeight="1" x14ac:dyDescent="0.3">
      <c r="B2" s="33" t="s">
        <v>28</v>
      </c>
      <c r="C2" s="33"/>
      <c r="D2" s="33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9"/>
    </row>
    <row r="3" spans="2:21" ht="14.4" customHeight="1" x14ac:dyDescent="0.3">
      <c r="B3" s="33"/>
      <c r="C3" s="33"/>
      <c r="D3" s="33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</row>
    <row r="4" spans="2:21" ht="14.4" customHeight="1" x14ac:dyDescent="0.3">
      <c r="B4" s="33"/>
      <c r="C4" s="33"/>
      <c r="D4" s="33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3"/>
    </row>
    <row r="6" spans="2:21" ht="27" customHeight="1" x14ac:dyDescent="0.3">
      <c r="B6" s="41" t="s">
        <v>24</v>
      </c>
      <c r="C6" s="50" t="s">
        <v>25</v>
      </c>
      <c r="D6" s="51"/>
      <c r="E6" s="52"/>
      <c r="F6" s="47" t="s">
        <v>0</v>
      </c>
      <c r="G6" s="49"/>
      <c r="H6" s="49"/>
      <c r="I6" s="49"/>
      <c r="J6" s="49"/>
      <c r="K6" s="49"/>
      <c r="L6" s="49"/>
      <c r="M6" s="49"/>
      <c r="N6" s="49"/>
      <c r="O6" s="48"/>
      <c r="P6" s="43" t="s">
        <v>1</v>
      </c>
      <c r="Q6" s="44"/>
      <c r="R6" s="43" t="s">
        <v>2</v>
      </c>
      <c r="S6" s="44"/>
      <c r="T6" s="43" t="s">
        <v>3</v>
      </c>
      <c r="U6" s="44"/>
    </row>
    <row r="7" spans="2:21" ht="34.950000000000003" customHeight="1" x14ac:dyDescent="0.3">
      <c r="B7" s="42"/>
      <c r="C7" s="53"/>
      <c r="D7" s="54"/>
      <c r="E7" s="55"/>
      <c r="F7" s="47" t="s">
        <v>4</v>
      </c>
      <c r="G7" s="48"/>
      <c r="H7" s="47" t="s">
        <v>5</v>
      </c>
      <c r="I7" s="48"/>
      <c r="J7" s="47" t="s">
        <v>6</v>
      </c>
      <c r="K7" s="48"/>
      <c r="L7" s="47" t="s">
        <v>7</v>
      </c>
      <c r="M7" s="48"/>
      <c r="N7" s="47" t="s">
        <v>8</v>
      </c>
      <c r="O7" s="48"/>
      <c r="P7" s="45"/>
      <c r="Q7" s="46"/>
      <c r="R7" s="45"/>
      <c r="S7" s="46"/>
      <c r="T7" s="45"/>
      <c r="U7" s="46"/>
    </row>
    <row r="8" spans="2:21" ht="14.4" customHeight="1" x14ac:dyDescent="0.3">
      <c r="B8" s="35" t="s">
        <v>41</v>
      </c>
      <c r="C8" s="34" t="s">
        <v>48</v>
      </c>
      <c r="D8" s="34"/>
      <c r="E8" s="34"/>
      <c r="F8" s="36" t="s">
        <v>30</v>
      </c>
      <c r="G8" s="36"/>
      <c r="H8" s="36" t="s">
        <v>31</v>
      </c>
      <c r="I8" s="36"/>
      <c r="J8" s="36" t="s">
        <v>32</v>
      </c>
      <c r="K8" s="36"/>
      <c r="L8" s="36" t="s">
        <v>33</v>
      </c>
      <c r="M8" s="36"/>
      <c r="N8" s="36" t="s">
        <v>34</v>
      </c>
      <c r="O8" s="36"/>
      <c r="P8" s="27">
        <v>0.5</v>
      </c>
      <c r="Q8" s="27"/>
      <c r="R8" s="40"/>
      <c r="S8" s="40"/>
      <c r="T8" s="27">
        <f>P8*R8</f>
        <v>0</v>
      </c>
      <c r="U8" s="27"/>
    </row>
    <row r="9" spans="2:21" ht="37.200000000000003" customHeight="1" x14ac:dyDescent="0.3">
      <c r="B9" s="38"/>
      <c r="C9" s="35"/>
      <c r="D9" s="35"/>
      <c r="E9" s="35"/>
      <c r="F9" s="37"/>
      <c r="G9" s="37"/>
      <c r="H9" s="37"/>
      <c r="I9" s="37"/>
      <c r="J9" s="37"/>
      <c r="K9" s="37"/>
      <c r="L9" s="37"/>
      <c r="M9" s="37"/>
      <c r="N9" s="37"/>
      <c r="O9" s="37"/>
      <c r="P9" s="25"/>
      <c r="Q9" s="25"/>
      <c r="R9" s="26"/>
      <c r="S9" s="26"/>
      <c r="T9" s="25"/>
      <c r="U9" s="25"/>
    </row>
    <row r="10" spans="2:21" ht="14.4" customHeight="1" x14ac:dyDescent="0.3">
      <c r="B10" s="35" t="s">
        <v>41</v>
      </c>
      <c r="C10" s="35" t="s">
        <v>43</v>
      </c>
      <c r="D10" s="35"/>
      <c r="E10" s="35"/>
      <c r="F10" s="37" t="s">
        <v>44</v>
      </c>
      <c r="G10" s="37"/>
      <c r="H10" s="37" t="s">
        <v>45</v>
      </c>
      <c r="I10" s="37"/>
      <c r="J10" s="37" t="s">
        <v>74</v>
      </c>
      <c r="K10" s="37"/>
      <c r="L10" s="37" t="s">
        <v>73</v>
      </c>
      <c r="M10" s="37"/>
      <c r="N10" s="37" t="s">
        <v>46</v>
      </c>
      <c r="O10" s="37"/>
      <c r="P10" s="25">
        <v>0.5</v>
      </c>
      <c r="Q10" s="25"/>
      <c r="R10" s="26"/>
      <c r="S10" s="26"/>
      <c r="T10" s="25">
        <f>P10*R10</f>
        <v>0</v>
      </c>
      <c r="U10" s="25"/>
    </row>
    <row r="11" spans="2:21" ht="37.200000000000003" customHeight="1" x14ac:dyDescent="0.3">
      <c r="B11" s="38"/>
      <c r="C11" s="35"/>
      <c r="D11" s="35"/>
      <c r="E11" s="35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25"/>
      <c r="Q11" s="25"/>
      <c r="R11" s="26"/>
      <c r="S11" s="26"/>
      <c r="T11" s="25"/>
      <c r="U11" s="25"/>
    </row>
    <row r="12" spans="2:21" ht="14.4" customHeight="1" x14ac:dyDescent="0.3">
      <c r="B12" s="31" t="s">
        <v>40</v>
      </c>
      <c r="C12" s="31" t="s">
        <v>63</v>
      </c>
      <c r="D12" s="31"/>
      <c r="E12" s="31"/>
      <c r="F12" s="32" t="s">
        <v>66</v>
      </c>
      <c r="G12" s="32"/>
      <c r="H12" s="32" t="s">
        <v>70</v>
      </c>
      <c r="I12" s="32"/>
      <c r="J12" s="32" t="s">
        <v>67</v>
      </c>
      <c r="K12" s="32"/>
      <c r="L12" s="32" t="s">
        <v>69</v>
      </c>
      <c r="M12" s="32"/>
      <c r="N12" s="32" t="s">
        <v>68</v>
      </c>
      <c r="O12" s="32"/>
      <c r="P12" s="30">
        <v>0.5</v>
      </c>
      <c r="Q12" s="30"/>
      <c r="R12" s="26"/>
      <c r="S12" s="26"/>
      <c r="T12" s="30">
        <f>P12*R12</f>
        <v>0</v>
      </c>
      <c r="U12" s="30"/>
    </row>
    <row r="13" spans="2:21" ht="37.200000000000003" customHeight="1" x14ac:dyDescent="0.3">
      <c r="B13" s="39"/>
      <c r="C13" s="31"/>
      <c r="D13" s="31"/>
      <c r="E13" s="31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0"/>
      <c r="Q13" s="30"/>
      <c r="R13" s="26"/>
      <c r="S13" s="26"/>
      <c r="T13" s="30"/>
      <c r="U13" s="30"/>
    </row>
    <row r="14" spans="2:21" ht="14.4" customHeight="1" x14ac:dyDescent="0.3">
      <c r="B14" s="31" t="s">
        <v>40</v>
      </c>
      <c r="C14" s="31" t="s">
        <v>47</v>
      </c>
      <c r="D14" s="31"/>
      <c r="E14" s="31"/>
      <c r="F14" s="32" t="s">
        <v>53</v>
      </c>
      <c r="G14" s="32"/>
      <c r="H14" s="32" t="s">
        <v>72</v>
      </c>
      <c r="I14" s="32"/>
      <c r="J14" s="32" t="s">
        <v>52</v>
      </c>
      <c r="K14" s="32"/>
      <c r="L14" s="32" t="s">
        <v>51</v>
      </c>
      <c r="M14" s="32"/>
      <c r="N14" s="32" t="s">
        <v>71</v>
      </c>
      <c r="O14" s="32"/>
      <c r="P14" s="30">
        <v>0.5</v>
      </c>
      <c r="Q14" s="30"/>
      <c r="R14" s="26"/>
      <c r="S14" s="26"/>
      <c r="T14" s="30">
        <f>P14*R14</f>
        <v>0</v>
      </c>
      <c r="U14" s="30"/>
    </row>
    <row r="15" spans="2:21" ht="37.200000000000003" customHeight="1" x14ac:dyDescent="0.3">
      <c r="B15" s="39"/>
      <c r="C15" s="31"/>
      <c r="D15" s="31"/>
      <c r="E15" s="31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0"/>
      <c r="Q15" s="30"/>
      <c r="R15" s="26"/>
      <c r="S15" s="26"/>
      <c r="T15" s="30"/>
      <c r="U15" s="30"/>
    </row>
    <row r="16" spans="2:21" ht="14.4" customHeight="1" x14ac:dyDescent="0.3">
      <c r="B16" s="57" t="s">
        <v>42</v>
      </c>
      <c r="C16" s="57" t="s">
        <v>64</v>
      </c>
      <c r="D16" s="57"/>
      <c r="E16" s="57"/>
      <c r="F16" s="59" t="s">
        <v>58</v>
      </c>
      <c r="G16" s="60"/>
      <c r="H16" s="59" t="s">
        <v>62</v>
      </c>
      <c r="I16" s="60"/>
      <c r="J16" s="59" t="s">
        <v>59</v>
      </c>
      <c r="K16" s="60"/>
      <c r="L16" s="59" t="s">
        <v>60</v>
      </c>
      <c r="M16" s="60"/>
      <c r="N16" s="59" t="s">
        <v>61</v>
      </c>
      <c r="O16" s="60"/>
      <c r="P16" s="68">
        <v>0.6</v>
      </c>
      <c r="Q16" s="68"/>
      <c r="R16" s="26"/>
      <c r="S16" s="26"/>
      <c r="T16" s="68">
        <f>P16*R16</f>
        <v>0</v>
      </c>
      <c r="U16" s="68"/>
    </row>
    <row r="17" spans="2:21" ht="37.200000000000003" customHeight="1" x14ac:dyDescent="0.3">
      <c r="B17" s="58"/>
      <c r="C17" s="57"/>
      <c r="D17" s="57"/>
      <c r="E17" s="57"/>
      <c r="F17" s="61"/>
      <c r="G17" s="62"/>
      <c r="H17" s="61"/>
      <c r="I17" s="62"/>
      <c r="J17" s="61"/>
      <c r="K17" s="62"/>
      <c r="L17" s="61"/>
      <c r="M17" s="62"/>
      <c r="N17" s="61"/>
      <c r="O17" s="62"/>
      <c r="P17" s="68"/>
      <c r="Q17" s="68"/>
      <c r="R17" s="26"/>
      <c r="S17" s="26"/>
      <c r="T17" s="68"/>
      <c r="U17" s="68"/>
    </row>
    <row r="18" spans="2:21" ht="14.4" customHeight="1" x14ac:dyDescent="0.3">
      <c r="B18" s="57" t="s">
        <v>42</v>
      </c>
      <c r="C18" s="57" t="s">
        <v>54</v>
      </c>
      <c r="D18" s="57"/>
      <c r="E18" s="57"/>
      <c r="F18" s="56" t="s">
        <v>57</v>
      </c>
      <c r="G18" s="56"/>
      <c r="H18" s="56" t="s">
        <v>50</v>
      </c>
      <c r="I18" s="56"/>
      <c r="J18" s="56" t="s">
        <v>56</v>
      </c>
      <c r="K18" s="56"/>
      <c r="L18" s="56" t="s">
        <v>55</v>
      </c>
      <c r="M18" s="56"/>
      <c r="N18" s="56" t="s">
        <v>49</v>
      </c>
      <c r="O18" s="56"/>
      <c r="P18" s="68">
        <v>0.2</v>
      </c>
      <c r="Q18" s="68"/>
      <c r="R18" s="26"/>
      <c r="S18" s="26"/>
      <c r="T18" s="68">
        <f>P18*R18</f>
        <v>0</v>
      </c>
      <c r="U18" s="68"/>
    </row>
    <row r="19" spans="2:21" ht="37.200000000000003" customHeight="1" x14ac:dyDescent="0.3">
      <c r="B19" s="58"/>
      <c r="C19" s="57"/>
      <c r="D19" s="57"/>
      <c r="E19" s="57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68"/>
      <c r="Q19" s="68"/>
      <c r="R19" s="26"/>
      <c r="S19" s="26"/>
      <c r="T19" s="68"/>
      <c r="U19" s="68"/>
    </row>
    <row r="20" spans="2:21" ht="14.4" customHeight="1" x14ac:dyDescent="0.3">
      <c r="B20" s="35" t="s">
        <v>41</v>
      </c>
      <c r="C20" s="35" t="s">
        <v>65</v>
      </c>
      <c r="D20" s="35"/>
      <c r="E20" s="35"/>
      <c r="F20" s="36" t="s">
        <v>35</v>
      </c>
      <c r="G20" s="36"/>
      <c r="H20" s="36" t="s">
        <v>39</v>
      </c>
      <c r="I20" s="36"/>
      <c r="J20" s="36" t="s">
        <v>36</v>
      </c>
      <c r="K20" s="36"/>
      <c r="L20" s="36" t="s">
        <v>37</v>
      </c>
      <c r="M20" s="36"/>
      <c r="N20" s="36" t="s">
        <v>38</v>
      </c>
      <c r="O20" s="36"/>
      <c r="P20" s="27">
        <v>0.2</v>
      </c>
      <c r="Q20" s="27"/>
      <c r="R20" s="40"/>
      <c r="S20" s="40"/>
      <c r="T20" s="27">
        <f>P20*R20</f>
        <v>0</v>
      </c>
      <c r="U20" s="27"/>
    </row>
    <row r="21" spans="2:21" ht="37.200000000000003" customHeight="1" thickBot="1" x14ac:dyDescent="0.35">
      <c r="B21" s="63"/>
      <c r="C21" s="70"/>
      <c r="D21" s="70"/>
      <c r="E21" s="70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28"/>
      <c r="Q21" s="28"/>
      <c r="R21" s="67"/>
      <c r="S21" s="67"/>
      <c r="T21" s="28"/>
      <c r="U21" s="28"/>
    </row>
    <row r="22" spans="2:21" ht="26.4" thickBot="1" x14ac:dyDescent="0.55000000000000004">
      <c r="B22" s="64" t="s">
        <v>29</v>
      </c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6"/>
      <c r="T22" s="29">
        <f>SUM(T8:U21)</f>
        <v>0</v>
      </c>
      <c r="U22" s="29"/>
    </row>
    <row r="23" spans="2:21" ht="15" thickTop="1" x14ac:dyDescent="0.3"/>
  </sheetData>
  <mergeCells count="84">
    <mergeCell ref="N16:O17"/>
    <mergeCell ref="P16:Q17"/>
    <mergeCell ref="R16:S17"/>
    <mergeCell ref="T16:U17"/>
    <mergeCell ref="C18:E19"/>
    <mergeCell ref="F18:G19"/>
    <mergeCell ref="T18:U19"/>
    <mergeCell ref="B20:B21"/>
    <mergeCell ref="B22:S22"/>
    <mergeCell ref="B18:B19"/>
    <mergeCell ref="P20:Q21"/>
    <mergeCell ref="R20:S21"/>
    <mergeCell ref="N18:O19"/>
    <mergeCell ref="P18:Q19"/>
    <mergeCell ref="R18:S19"/>
    <mergeCell ref="N20:O21"/>
    <mergeCell ref="C20:E21"/>
    <mergeCell ref="F20:G21"/>
    <mergeCell ref="H20:I21"/>
    <mergeCell ref="J20:K21"/>
    <mergeCell ref="L20:M21"/>
    <mergeCell ref="B14:B15"/>
    <mergeCell ref="C6:E7"/>
    <mergeCell ref="H18:I19"/>
    <mergeCell ref="J18:K19"/>
    <mergeCell ref="L18:M19"/>
    <mergeCell ref="L10:M11"/>
    <mergeCell ref="L8:M9"/>
    <mergeCell ref="B16:B17"/>
    <mergeCell ref="C16:E17"/>
    <mergeCell ref="F16:G17"/>
    <mergeCell ref="H16:I17"/>
    <mergeCell ref="J16:K17"/>
    <mergeCell ref="L16:M17"/>
    <mergeCell ref="P8:Q9"/>
    <mergeCell ref="R8:S9"/>
    <mergeCell ref="B6:B7"/>
    <mergeCell ref="B10:B11"/>
    <mergeCell ref="T6:U7"/>
    <mergeCell ref="F7:G7"/>
    <mergeCell ref="H7:I7"/>
    <mergeCell ref="J7:K7"/>
    <mergeCell ref="L7:M7"/>
    <mergeCell ref="N7:O7"/>
    <mergeCell ref="F6:O6"/>
    <mergeCell ref="P6:Q7"/>
    <mergeCell ref="R6:S7"/>
    <mergeCell ref="T8:U9"/>
    <mergeCell ref="N8:O9"/>
    <mergeCell ref="N10:O11"/>
    <mergeCell ref="B2:D4"/>
    <mergeCell ref="C12:E13"/>
    <mergeCell ref="F12:G13"/>
    <mergeCell ref="H12:I13"/>
    <mergeCell ref="J12:K13"/>
    <mergeCell ref="C8:E9"/>
    <mergeCell ref="F8:G9"/>
    <mergeCell ref="H8:I9"/>
    <mergeCell ref="J8:K9"/>
    <mergeCell ref="B8:B9"/>
    <mergeCell ref="C10:E11"/>
    <mergeCell ref="F10:G11"/>
    <mergeCell ref="H10:I11"/>
    <mergeCell ref="J10:K11"/>
    <mergeCell ref="B12:B13"/>
    <mergeCell ref="N14:O15"/>
    <mergeCell ref="P14:Q15"/>
    <mergeCell ref="R14:S15"/>
    <mergeCell ref="T14:U15"/>
    <mergeCell ref="L12:M13"/>
    <mergeCell ref="N12:O13"/>
    <mergeCell ref="P12:Q13"/>
    <mergeCell ref="R12:S13"/>
    <mergeCell ref="C14:E15"/>
    <mergeCell ref="F14:G15"/>
    <mergeCell ref="H14:I15"/>
    <mergeCell ref="J14:K15"/>
    <mergeCell ref="L14:M15"/>
    <mergeCell ref="P10:Q11"/>
    <mergeCell ref="R10:S11"/>
    <mergeCell ref="T10:U11"/>
    <mergeCell ref="T20:U21"/>
    <mergeCell ref="T22:U22"/>
    <mergeCell ref="T12:U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7A094-BBF7-4718-80FA-4D824599225E}">
  <sheetPr>
    <tabColor theme="9" tint="0.39997558519241921"/>
  </sheetPr>
  <dimension ref="B2:U19"/>
  <sheetViews>
    <sheetView zoomScale="70" zoomScaleNormal="70" workbookViewId="0">
      <selection activeCell="R8" sqref="R8:S17"/>
    </sheetView>
  </sheetViews>
  <sheetFormatPr defaultColWidth="12.44140625" defaultRowHeight="14.4" x14ac:dyDescent="0.3"/>
  <cols>
    <col min="1" max="1" width="5.77734375" customWidth="1"/>
    <col min="2" max="2" width="14.5546875" customWidth="1"/>
    <col min="5" max="5" width="13.21875" customWidth="1"/>
    <col min="7" max="7" width="18.5546875" customWidth="1"/>
    <col min="9" max="9" width="20.88671875" customWidth="1"/>
    <col min="11" max="11" width="22.88671875" customWidth="1"/>
    <col min="13" max="13" width="19.21875" customWidth="1"/>
    <col min="15" max="15" width="22" customWidth="1"/>
    <col min="16" max="16" width="7.44140625" customWidth="1"/>
    <col min="17" max="17" width="6.109375" customWidth="1"/>
    <col min="18" max="19" width="5.77734375" customWidth="1"/>
    <col min="20" max="20" width="8.77734375" customWidth="1"/>
  </cols>
  <sheetData>
    <row r="2" spans="2:21" ht="14.4" customHeight="1" x14ac:dyDescent="0.3">
      <c r="B2" s="107" t="s">
        <v>75</v>
      </c>
      <c r="C2" s="108"/>
      <c r="D2" s="108"/>
      <c r="E2" s="10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9"/>
    </row>
    <row r="3" spans="2:21" ht="14.4" customHeight="1" x14ac:dyDescent="0.3">
      <c r="B3" s="109"/>
      <c r="C3" s="110"/>
      <c r="D3" s="110"/>
      <c r="E3" s="1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</row>
    <row r="4" spans="2:21" ht="14.4" customHeight="1" x14ac:dyDescent="0.3">
      <c r="B4" s="111"/>
      <c r="C4" s="112"/>
      <c r="D4" s="112"/>
      <c r="E4" s="1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3"/>
    </row>
    <row r="6" spans="2:21" ht="27" customHeight="1" x14ac:dyDescent="0.3">
      <c r="B6" s="155" t="s">
        <v>19</v>
      </c>
      <c r="C6" s="155" t="s">
        <v>25</v>
      </c>
      <c r="D6" s="121"/>
      <c r="E6" s="121"/>
      <c r="F6" s="121" t="s">
        <v>0</v>
      </c>
      <c r="G6" s="121"/>
      <c r="H6" s="121"/>
      <c r="I6" s="121"/>
      <c r="J6" s="121"/>
      <c r="K6" s="121"/>
      <c r="L6" s="121"/>
      <c r="M6" s="121"/>
      <c r="N6" s="121"/>
      <c r="O6" s="121"/>
      <c r="P6" s="165" t="s">
        <v>1</v>
      </c>
      <c r="Q6" s="166"/>
      <c r="R6" s="121" t="s">
        <v>2</v>
      </c>
      <c r="S6" s="121"/>
      <c r="T6" s="121" t="s">
        <v>3</v>
      </c>
      <c r="U6" s="121"/>
    </row>
    <row r="7" spans="2:21" ht="34.950000000000003" customHeight="1" x14ac:dyDescent="0.3">
      <c r="B7" s="121"/>
      <c r="C7" s="121"/>
      <c r="D7" s="121"/>
      <c r="E7" s="121"/>
      <c r="F7" s="122" t="s">
        <v>4</v>
      </c>
      <c r="G7" s="123"/>
      <c r="H7" s="122" t="s">
        <v>5</v>
      </c>
      <c r="I7" s="123"/>
      <c r="J7" s="122" t="s">
        <v>6</v>
      </c>
      <c r="K7" s="123"/>
      <c r="L7" s="122" t="s">
        <v>7</v>
      </c>
      <c r="M7" s="123"/>
      <c r="N7" s="122" t="s">
        <v>8</v>
      </c>
      <c r="O7" s="123"/>
      <c r="P7" s="167"/>
      <c r="Q7" s="168"/>
      <c r="R7" s="121"/>
      <c r="S7" s="121"/>
      <c r="T7" s="121"/>
      <c r="U7" s="121"/>
    </row>
    <row r="8" spans="2:21" ht="14.4" customHeight="1" x14ac:dyDescent="0.3">
      <c r="B8" s="31" t="s">
        <v>98</v>
      </c>
      <c r="C8" s="124" t="s">
        <v>95</v>
      </c>
      <c r="D8" s="125"/>
      <c r="E8" s="126"/>
      <c r="F8" s="113" t="s">
        <v>92</v>
      </c>
      <c r="G8" s="114"/>
      <c r="H8" s="113" t="s">
        <v>93</v>
      </c>
      <c r="I8" s="114"/>
      <c r="J8" s="113" t="s">
        <v>94</v>
      </c>
      <c r="K8" s="114"/>
      <c r="L8" s="113" t="s">
        <v>90</v>
      </c>
      <c r="M8" s="114"/>
      <c r="N8" s="113" t="s">
        <v>91</v>
      </c>
      <c r="O8" s="114"/>
      <c r="P8" s="117">
        <v>0.3</v>
      </c>
      <c r="Q8" s="118"/>
      <c r="R8" s="130"/>
      <c r="S8" s="130"/>
      <c r="T8" s="132">
        <f>P8*R8</f>
        <v>0</v>
      </c>
      <c r="U8" s="132"/>
    </row>
    <row r="9" spans="2:21" ht="37.200000000000003" customHeight="1" x14ac:dyDescent="0.3">
      <c r="B9" s="39"/>
      <c r="C9" s="127"/>
      <c r="D9" s="128"/>
      <c r="E9" s="129"/>
      <c r="F9" s="115"/>
      <c r="G9" s="116"/>
      <c r="H9" s="115"/>
      <c r="I9" s="116"/>
      <c r="J9" s="115"/>
      <c r="K9" s="116"/>
      <c r="L9" s="115"/>
      <c r="M9" s="116"/>
      <c r="N9" s="115"/>
      <c r="O9" s="116"/>
      <c r="P9" s="119"/>
      <c r="Q9" s="120"/>
      <c r="R9" s="131"/>
      <c r="S9" s="131"/>
      <c r="T9" s="30"/>
      <c r="U9" s="30"/>
    </row>
    <row r="10" spans="2:21" ht="14.4" customHeight="1" x14ac:dyDescent="0.3">
      <c r="B10" s="159" t="s">
        <v>96</v>
      </c>
      <c r="C10" s="159" t="s">
        <v>97</v>
      </c>
      <c r="D10" s="159"/>
      <c r="E10" s="159"/>
      <c r="F10" s="103" t="s">
        <v>76</v>
      </c>
      <c r="G10" s="104"/>
      <c r="H10" s="103" t="s">
        <v>78</v>
      </c>
      <c r="I10" s="104"/>
      <c r="J10" s="103" t="s">
        <v>79</v>
      </c>
      <c r="K10" s="104"/>
      <c r="L10" s="103" t="s">
        <v>80</v>
      </c>
      <c r="M10" s="104"/>
      <c r="N10" s="103" t="s">
        <v>77</v>
      </c>
      <c r="O10" s="104"/>
      <c r="P10" s="161">
        <v>0.5</v>
      </c>
      <c r="Q10" s="162"/>
      <c r="R10" s="131"/>
      <c r="S10" s="131"/>
      <c r="T10" s="98">
        <f>P10*R10</f>
        <v>0</v>
      </c>
      <c r="U10" s="98"/>
    </row>
    <row r="11" spans="2:21" ht="37.200000000000003" customHeight="1" x14ac:dyDescent="0.3">
      <c r="B11" s="160"/>
      <c r="C11" s="159"/>
      <c r="D11" s="159"/>
      <c r="E11" s="159"/>
      <c r="F11" s="105"/>
      <c r="G11" s="106"/>
      <c r="H11" s="105"/>
      <c r="I11" s="106"/>
      <c r="J11" s="105"/>
      <c r="K11" s="106"/>
      <c r="L11" s="105"/>
      <c r="M11" s="106"/>
      <c r="N11" s="105"/>
      <c r="O11" s="106"/>
      <c r="P11" s="163"/>
      <c r="Q11" s="164"/>
      <c r="R11" s="131"/>
      <c r="S11" s="131"/>
      <c r="T11" s="98"/>
      <c r="U11" s="98"/>
    </row>
    <row r="12" spans="2:21" ht="14.4" customHeight="1" x14ac:dyDescent="0.3">
      <c r="B12" s="156" t="s">
        <v>104</v>
      </c>
      <c r="C12" s="149" t="s">
        <v>107</v>
      </c>
      <c r="D12" s="150"/>
      <c r="E12" s="151"/>
      <c r="F12" s="59" t="s">
        <v>142</v>
      </c>
      <c r="G12" s="60"/>
      <c r="H12" s="59" t="s">
        <v>141</v>
      </c>
      <c r="I12" s="60"/>
      <c r="J12" s="59" t="s">
        <v>89</v>
      </c>
      <c r="K12" s="60"/>
      <c r="L12" s="59" t="s">
        <v>88</v>
      </c>
      <c r="M12" s="60"/>
      <c r="N12" s="59" t="s">
        <v>87</v>
      </c>
      <c r="O12" s="60"/>
      <c r="P12" s="141">
        <v>0.4</v>
      </c>
      <c r="Q12" s="142"/>
      <c r="R12" s="131"/>
      <c r="S12" s="131"/>
      <c r="T12" s="68">
        <f>P12*R12</f>
        <v>0</v>
      </c>
      <c r="U12" s="68"/>
    </row>
    <row r="13" spans="2:21" ht="37.200000000000003" customHeight="1" x14ac:dyDescent="0.3">
      <c r="B13" s="157"/>
      <c r="C13" s="152"/>
      <c r="D13" s="153"/>
      <c r="E13" s="154"/>
      <c r="F13" s="61"/>
      <c r="G13" s="62"/>
      <c r="H13" s="61"/>
      <c r="I13" s="62"/>
      <c r="J13" s="61"/>
      <c r="K13" s="62"/>
      <c r="L13" s="61"/>
      <c r="M13" s="62"/>
      <c r="N13" s="61"/>
      <c r="O13" s="62"/>
      <c r="P13" s="143"/>
      <c r="Q13" s="144"/>
      <c r="R13" s="131"/>
      <c r="S13" s="131"/>
      <c r="T13" s="68"/>
      <c r="U13" s="68"/>
    </row>
    <row r="14" spans="2:21" ht="14.4" customHeight="1" x14ac:dyDescent="0.3">
      <c r="B14" s="35" t="s">
        <v>103</v>
      </c>
      <c r="C14" s="135" t="s">
        <v>105</v>
      </c>
      <c r="D14" s="136"/>
      <c r="E14" s="137"/>
      <c r="F14" s="99" t="s">
        <v>102</v>
      </c>
      <c r="G14" s="100"/>
      <c r="H14" s="99" t="s">
        <v>99</v>
      </c>
      <c r="I14" s="100"/>
      <c r="J14" s="99" t="s">
        <v>100</v>
      </c>
      <c r="K14" s="100"/>
      <c r="L14" s="99" t="s">
        <v>101</v>
      </c>
      <c r="M14" s="100"/>
      <c r="N14" s="99" t="s">
        <v>86</v>
      </c>
      <c r="O14" s="100"/>
      <c r="P14" s="145">
        <v>0.5</v>
      </c>
      <c r="Q14" s="146"/>
      <c r="R14" s="131"/>
      <c r="S14" s="131"/>
      <c r="T14" s="25">
        <f>P14*R14</f>
        <v>0</v>
      </c>
      <c r="U14" s="25"/>
    </row>
    <row r="15" spans="2:21" ht="37.200000000000003" customHeight="1" x14ac:dyDescent="0.3">
      <c r="B15" s="38"/>
      <c r="C15" s="138"/>
      <c r="D15" s="139"/>
      <c r="E15" s="140"/>
      <c r="F15" s="101"/>
      <c r="G15" s="102"/>
      <c r="H15" s="101"/>
      <c r="I15" s="102"/>
      <c r="J15" s="101"/>
      <c r="K15" s="102"/>
      <c r="L15" s="101"/>
      <c r="M15" s="102"/>
      <c r="N15" s="101"/>
      <c r="O15" s="102"/>
      <c r="P15" s="147"/>
      <c r="Q15" s="148"/>
      <c r="R15" s="131"/>
      <c r="S15" s="131"/>
      <c r="T15" s="25"/>
      <c r="U15" s="25"/>
    </row>
    <row r="16" spans="2:21" ht="14.4" customHeight="1" x14ac:dyDescent="0.3">
      <c r="B16" s="35" t="s">
        <v>103</v>
      </c>
      <c r="C16" s="135" t="s">
        <v>106</v>
      </c>
      <c r="D16" s="136"/>
      <c r="E16" s="137"/>
      <c r="F16" s="99" t="s">
        <v>83</v>
      </c>
      <c r="G16" s="100"/>
      <c r="H16" s="99" t="s">
        <v>82</v>
      </c>
      <c r="I16" s="100"/>
      <c r="J16" s="99" t="s">
        <v>81</v>
      </c>
      <c r="K16" s="100"/>
      <c r="L16" s="99" t="s">
        <v>85</v>
      </c>
      <c r="M16" s="100"/>
      <c r="N16" s="99" t="s">
        <v>84</v>
      </c>
      <c r="O16" s="100"/>
      <c r="P16" s="145">
        <v>0.3</v>
      </c>
      <c r="Q16" s="146"/>
      <c r="R16" s="131"/>
      <c r="S16" s="131"/>
      <c r="T16" s="25">
        <f>R16*P16</f>
        <v>0</v>
      </c>
      <c r="U16" s="25"/>
    </row>
    <row r="17" spans="2:21" ht="37.200000000000003" customHeight="1" thickBot="1" x14ac:dyDescent="0.35">
      <c r="B17" s="63"/>
      <c r="C17" s="138"/>
      <c r="D17" s="139"/>
      <c r="E17" s="140"/>
      <c r="F17" s="101"/>
      <c r="G17" s="102"/>
      <c r="H17" s="101"/>
      <c r="I17" s="102"/>
      <c r="J17" s="101"/>
      <c r="K17" s="102"/>
      <c r="L17" s="101"/>
      <c r="M17" s="102"/>
      <c r="N17" s="101"/>
      <c r="O17" s="102"/>
      <c r="P17" s="147"/>
      <c r="Q17" s="148"/>
      <c r="R17" s="131"/>
      <c r="S17" s="131"/>
      <c r="T17" s="25"/>
      <c r="U17" s="25"/>
    </row>
    <row r="18" spans="2:21" ht="26.4" thickBot="1" x14ac:dyDescent="0.55000000000000004">
      <c r="B18" s="158" t="s">
        <v>9</v>
      </c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6"/>
      <c r="T18" s="133">
        <f>SUM(T8:U17)</f>
        <v>0</v>
      </c>
      <c r="U18" s="134"/>
    </row>
    <row r="19" spans="2:21" ht="15" thickTop="1" x14ac:dyDescent="0.3"/>
  </sheetData>
  <mergeCells count="64">
    <mergeCell ref="C6:E7"/>
    <mergeCell ref="F6:O6"/>
    <mergeCell ref="B12:B13"/>
    <mergeCell ref="B16:B17"/>
    <mergeCell ref="B18:S18"/>
    <mergeCell ref="B8:B9"/>
    <mergeCell ref="B10:B11"/>
    <mergeCell ref="B14:B15"/>
    <mergeCell ref="N10:O11"/>
    <mergeCell ref="P10:Q11"/>
    <mergeCell ref="R10:S11"/>
    <mergeCell ref="R14:S15"/>
    <mergeCell ref="C14:E15"/>
    <mergeCell ref="F14:G15"/>
    <mergeCell ref="H14:I15"/>
    <mergeCell ref="J14:K15"/>
    <mergeCell ref="C10:E11"/>
    <mergeCell ref="F10:G11"/>
    <mergeCell ref="H10:I11"/>
    <mergeCell ref="J10:K11"/>
    <mergeCell ref="L14:M15"/>
    <mergeCell ref="P6:Q7"/>
    <mergeCell ref="R6:S7"/>
    <mergeCell ref="T18:U18"/>
    <mergeCell ref="C16:E17"/>
    <mergeCell ref="F16:G17"/>
    <mergeCell ref="H16:I17"/>
    <mergeCell ref="J16:K17"/>
    <mergeCell ref="L16:M17"/>
    <mergeCell ref="N16:O17"/>
    <mergeCell ref="N12:O13"/>
    <mergeCell ref="P12:Q13"/>
    <mergeCell ref="R12:S13"/>
    <mergeCell ref="T12:U13"/>
    <mergeCell ref="T16:U17"/>
    <mergeCell ref="P16:Q17"/>
    <mergeCell ref="R16:S17"/>
    <mergeCell ref="C12:E13"/>
    <mergeCell ref="T14:U15"/>
    <mergeCell ref="P14:Q15"/>
    <mergeCell ref="T10:U11"/>
    <mergeCell ref="N14:O15"/>
    <mergeCell ref="L10:M11"/>
    <mergeCell ref="F12:G13"/>
    <mergeCell ref="H12:I13"/>
    <mergeCell ref="J12:K13"/>
    <mergeCell ref="L12:M13"/>
    <mergeCell ref="B2:E4"/>
    <mergeCell ref="N8:O9"/>
    <mergeCell ref="P8:Q9"/>
    <mergeCell ref="T6:U7"/>
    <mergeCell ref="F7:G7"/>
    <mergeCell ref="H7:I7"/>
    <mergeCell ref="J7:K7"/>
    <mergeCell ref="L7:M7"/>
    <mergeCell ref="N7:O7"/>
    <mergeCell ref="C8:E9"/>
    <mergeCell ref="F8:G9"/>
    <mergeCell ref="H8:I9"/>
    <mergeCell ref="J8:K9"/>
    <mergeCell ref="L8:M9"/>
    <mergeCell ref="R8:S9"/>
    <mergeCell ref="T8:U9"/>
    <mergeCell ref="B6:B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FF98F-BD61-4CD4-B807-339888974512}">
  <sheetPr>
    <tabColor theme="4" tint="0.39997558519241921"/>
  </sheetPr>
  <dimension ref="B2:W25"/>
  <sheetViews>
    <sheetView tabSelected="1" zoomScale="70" zoomScaleNormal="70" workbookViewId="0">
      <selection activeCell="T26" sqref="T26"/>
    </sheetView>
  </sheetViews>
  <sheetFormatPr defaultColWidth="12.44140625" defaultRowHeight="14.4" x14ac:dyDescent="0.3"/>
  <cols>
    <col min="1" max="1" width="5.77734375" customWidth="1"/>
    <col min="2" max="2" width="14.5546875" customWidth="1"/>
    <col min="5" max="5" width="13.21875" customWidth="1"/>
    <col min="7" max="7" width="18.5546875" customWidth="1"/>
    <col min="9" max="9" width="20.88671875" customWidth="1"/>
    <col min="11" max="11" width="22.88671875" customWidth="1"/>
    <col min="13" max="13" width="19.21875" customWidth="1"/>
    <col min="15" max="15" width="22" customWidth="1"/>
    <col min="16" max="16" width="7.44140625" customWidth="1"/>
    <col min="17" max="17" width="6.109375" customWidth="1"/>
    <col min="18" max="18" width="7.21875" customWidth="1"/>
    <col min="19" max="19" width="6.77734375" customWidth="1"/>
    <col min="20" max="20" width="7" customWidth="1"/>
    <col min="21" max="21" width="7.21875" customWidth="1"/>
    <col min="22" max="22" width="7.77734375" customWidth="1"/>
    <col min="23" max="23" width="6.88671875" customWidth="1"/>
  </cols>
  <sheetData>
    <row r="2" spans="2:23" ht="14.4" customHeight="1" x14ac:dyDescent="0.3">
      <c r="B2" s="173" t="s">
        <v>108</v>
      </c>
      <c r="C2" s="174"/>
      <c r="D2" s="174"/>
      <c r="E2" s="174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9"/>
    </row>
    <row r="3" spans="2:23" ht="14.4" customHeight="1" x14ac:dyDescent="0.3">
      <c r="B3" s="175"/>
      <c r="C3" s="33"/>
      <c r="D3" s="33"/>
      <c r="E3" s="33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spans="2:23" ht="14.4" customHeight="1" x14ac:dyDescent="0.3">
      <c r="B4" s="176"/>
      <c r="C4" s="177"/>
      <c r="D4" s="177"/>
      <c r="E4" s="177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3"/>
    </row>
    <row r="6" spans="2:23" ht="27" customHeight="1" x14ac:dyDescent="0.3">
      <c r="B6" s="155" t="s">
        <v>19</v>
      </c>
      <c r="C6" s="155" t="s">
        <v>25</v>
      </c>
      <c r="D6" s="121"/>
      <c r="E6" s="121"/>
      <c r="F6" s="121" t="s">
        <v>0</v>
      </c>
      <c r="G6" s="121"/>
      <c r="H6" s="121"/>
      <c r="I6" s="121"/>
      <c r="J6" s="121"/>
      <c r="K6" s="121"/>
      <c r="L6" s="121"/>
      <c r="M6" s="121"/>
      <c r="N6" s="121"/>
      <c r="O6" s="121"/>
      <c r="P6" s="165" t="s">
        <v>1</v>
      </c>
      <c r="Q6" s="166"/>
      <c r="R6" s="165" t="s">
        <v>2</v>
      </c>
      <c r="S6" s="171"/>
      <c r="T6" s="166"/>
      <c r="U6" s="121" t="s">
        <v>3</v>
      </c>
      <c r="V6" s="121"/>
      <c r="W6" s="121"/>
    </row>
    <row r="7" spans="2:23" ht="34.950000000000003" customHeight="1" x14ac:dyDescent="0.3">
      <c r="B7" s="121"/>
      <c r="C7" s="121"/>
      <c r="D7" s="121"/>
      <c r="E7" s="121"/>
      <c r="F7" s="122" t="s">
        <v>4</v>
      </c>
      <c r="G7" s="123"/>
      <c r="H7" s="122" t="s">
        <v>5</v>
      </c>
      <c r="I7" s="123"/>
      <c r="J7" s="122" t="s">
        <v>6</v>
      </c>
      <c r="K7" s="123"/>
      <c r="L7" s="122" t="s">
        <v>7</v>
      </c>
      <c r="M7" s="123"/>
      <c r="N7" s="122" t="s">
        <v>8</v>
      </c>
      <c r="O7" s="123"/>
      <c r="P7" s="167"/>
      <c r="Q7" s="168"/>
      <c r="R7" s="167"/>
      <c r="S7" s="172"/>
      <c r="T7" s="168"/>
      <c r="U7" s="121"/>
      <c r="V7" s="121"/>
      <c r="W7" s="121"/>
    </row>
    <row r="8" spans="2:23" ht="14.4" customHeight="1" x14ac:dyDescent="0.3">
      <c r="B8" s="31" t="s">
        <v>20</v>
      </c>
      <c r="C8" s="124" t="s">
        <v>124</v>
      </c>
      <c r="D8" s="125"/>
      <c r="E8" s="126"/>
      <c r="F8" s="113" t="s">
        <v>128</v>
      </c>
      <c r="G8" s="114"/>
      <c r="H8" s="113" t="s">
        <v>129</v>
      </c>
      <c r="I8" s="114"/>
      <c r="J8" s="113" t="s">
        <v>130</v>
      </c>
      <c r="K8" s="114"/>
      <c r="L8" s="113" t="s">
        <v>126</v>
      </c>
      <c r="M8" s="114"/>
      <c r="N8" s="113" t="s">
        <v>131</v>
      </c>
      <c r="O8" s="114"/>
      <c r="P8" s="117">
        <v>0.5</v>
      </c>
      <c r="Q8" s="118"/>
      <c r="R8" s="130"/>
      <c r="S8" s="130"/>
      <c r="T8" s="130"/>
      <c r="U8" s="132">
        <f>P8*R8</f>
        <v>0</v>
      </c>
      <c r="V8" s="132"/>
      <c r="W8" s="132"/>
    </row>
    <row r="9" spans="2:23" ht="37.200000000000003" customHeight="1" x14ac:dyDescent="0.3">
      <c r="B9" s="39"/>
      <c r="C9" s="127"/>
      <c r="D9" s="128"/>
      <c r="E9" s="129"/>
      <c r="F9" s="115"/>
      <c r="G9" s="116"/>
      <c r="H9" s="115"/>
      <c r="I9" s="116"/>
      <c r="J9" s="115"/>
      <c r="K9" s="116"/>
      <c r="L9" s="115"/>
      <c r="M9" s="116"/>
      <c r="N9" s="115"/>
      <c r="O9" s="116"/>
      <c r="P9" s="119"/>
      <c r="Q9" s="120"/>
      <c r="R9" s="131"/>
      <c r="S9" s="131"/>
      <c r="T9" s="131"/>
      <c r="U9" s="30"/>
      <c r="V9" s="30"/>
      <c r="W9" s="30"/>
    </row>
    <row r="10" spans="2:23" ht="14.4" customHeight="1" x14ac:dyDescent="0.3">
      <c r="B10" s="57" t="s">
        <v>21</v>
      </c>
      <c r="C10" s="57" t="s">
        <v>127</v>
      </c>
      <c r="D10" s="57"/>
      <c r="E10" s="57"/>
      <c r="F10" s="59" t="s">
        <v>133</v>
      </c>
      <c r="G10" s="60"/>
      <c r="H10" s="59" t="s">
        <v>136</v>
      </c>
      <c r="I10" s="60"/>
      <c r="J10" s="59" t="s">
        <v>135</v>
      </c>
      <c r="K10" s="60"/>
      <c r="L10" s="59" t="s">
        <v>134</v>
      </c>
      <c r="M10" s="60"/>
      <c r="N10" s="59" t="s">
        <v>132</v>
      </c>
      <c r="O10" s="60"/>
      <c r="P10" s="141">
        <v>0.3</v>
      </c>
      <c r="Q10" s="142"/>
      <c r="R10" s="131"/>
      <c r="S10" s="131"/>
      <c r="T10" s="131"/>
      <c r="U10" s="68">
        <f>P10*R10</f>
        <v>0</v>
      </c>
      <c r="V10" s="68"/>
      <c r="W10" s="68"/>
    </row>
    <row r="11" spans="2:23" ht="37.200000000000003" customHeight="1" x14ac:dyDescent="0.3">
      <c r="B11" s="58"/>
      <c r="C11" s="57"/>
      <c r="D11" s="57"/>
      <c r="E11" s="57"/>
      <c r="F11" s="61"/>
      <c r="G11" s="62"/>
      <c r="H11" s="61"/>
      <c r="I11" s="62"/>
      <c r="J11" s="61"/>
      <c r="K11" s="62"/>
      <c r="L11" s="61"/>
      <c r="M11" s="62"/>
      <c r="N11" s="61"/>
      <c r="O11" s="62"/>
      <c r="P11" s="143"/>
      <c r="Q11" s="144"/>
      <c r="R11" s="131"/>
      <c r="S11" s="131"/>
      <c r="T11" s="131"/>
      <c r="U11" s="68"/>
      <c r="V11" s="68"/>
      <c r="W11" s="68"/>
    </row>
    <row r="12" spans="2:23" ht="14.4" customHeight="1" x14ac:dyDescent="0.3">
      <c r="B12" s="57" t="s">
        <v>21</v>
      </c>
      <c r="C12" s="57" t="s">
        <v>122</v>
      </c>
      <c r="D12" s="57"/>
      <c r="E12" s="57"/>
      <c r="F12" s="59" t="s">
        <v>120</v>
      </c>
      <c r="G12" s="60"/>
      <c r="H12" s="59" t="s">
        <v>121</v>
      </c>
      <c r="I12" s="60"/>
      <c r="J12" s="59" t="s">
        <v>119</v>
      </c>
      <c r="K12" s="60"/>
      <c r="L12" s="59" t="s">
        <v>117</v>
      </c>
      <c r="M12" s="60"/>
      <c r="N12" s="59" t="s">
        <v>118</v>
      </c>
      <c r="O12" s="60"/>
      <c r="P12" s="141">
        <v>0.5</v>
      </c>
      <c r="Q12" s="142"/>
      <c r="R12" s="131"/>
      <c r="S12" s="131"/>
      <c r="T12" s="131"/>
      <c r="U12" s="68">
        <f>P12*R12</f>
        <v>0</v>
      </c>
      <c r="V12" s="68"/>
      <c r="W12" s="68"/>
    </row>
    <row r="13" spans="2:23" ht="37.200000000000003" customHeight="1" x14ac:dyDescent="0.3">
      <c r="B13" s="58"/>
      <c r="C13" s="57"/>
      <c r="D13" s="57"/>
      <c r="E13" s="57"/>
      <c r="F13" s="61"/>
      <c r="G13" s="62"/>
      <c r="H13" s="61"/>
      <c r="I13" s="62"/>
      <c r="J13" s="61"/>
      <c r="K13" s="62"/>
      <c r="L13" s="61"/>
      <c r="M13" s="62"/>
      <c r="N13" s="61"/>
      <c r="O13" s="62"/>
      <c r="P13" s="143"/>
      <c r="Q13" s="144"/>
      <c r="R13" s="131"/>
      <c r="S13" s="131"/>
      <c r="T13" s="131"/>
      <c r="U13" s="68"/>
      <c r="V13" s="68"/>
      <c r="W13" s="68"/>
    </row>
    <row r="14" spans="2:23" ht="30.6" customHeight="1" x14ac:dyDescent="0.3">
      <c r="B14" s="35" t="s">
        <v>22</v>
      </c>
      <c r="C14" s="135" t="s">
        <v>23</v>
      </c>
      <c r="D14" s="136"/>
      <c r="E14" s="137"/>
      <c r="F14" s="99" t="s">
        <v>123</v>
      </c>
      <c r="G14" s="100"/>
      <c r="H14" s="99" t="s">
        <v>140</v>
      </c>
      <c r="I14" s="100"/>
      <c r="J14" s="99" t="s">
        <v>137</v>
      </c>
      <c r="K14" s="100"/>
      <c r="L14" s="99" t="s">
        <v>138</v>
      </c>
      <c r="M14" s="100"/>
      <c r="N14" s="99" t="s">
        <v>139</v>
      </c>
      <c r="O14" s="100"/>
      <c r="P14" s="145">
        <v>0.4</v>
      </c>
      <c r="Q14" s="146"/>
      <c r="R14" s="19" t="s">
        <v>114</v>
      </c>
      <c r="S14" s="19" t="s">
        <v>115</v>
      </c>
      <c r="T14" s="19" t="s">
        <v>116</v>
      </c>
      <c r="U14" s="19" t="s">
        <v>114</v>
      </c>
      <c r="V14" s="19" t="s">
        <v>115</v>
      </c>
      <c r="W14" s="19" t="s">
        <v>116</v>
      </c>
    </row>
    <row r="15" spans="2:23" ht="37.200000000000003" customHeight="1" x14ac:dyDescent="0.3">
      <c r="B15" s="38"/>
      <c r="C15" s="138"/>
      <c r="D15" s="139"/>
      <c r="E15" s="140"/>
      <c r="F15" s="101"/>
      <c r="G15" s="102"/>
      <c r="H15" s="101"/>
      <c r="I15" s="102"/>
      <c r="J15" s="101"/>
      <c r="K15" s="102"/>
      <c r="L15" s="101"/>
      <c r="M15" s="102"/>
      <c r="N15" s="101"/>
      <c r="O15" s="102"/>
      <c r="P15" s="147"/>
      <c r="Q15" s="148"/>
      <c r="R15" s="14"/>
      <c r="S15" s="14"/>
      <c r="T15" s="14"/>
      <c r="U15" s="22">
        <f>P14*R15</f>
        <v>0</v>
      </c>
      <c r="V15" s="22">
        <f>P14*S15</f>
        <v>0</v>
      </c>
      <c r="W15" s="22">
        <f>P14*T15</f>
        <v>0</v>
      </c>
    </row>
    <row r="16" spans="2:23" ht="30" customHeight="1" x14ac:dyDescent="0.3">
      <c r="B16" s="35" t="s">
        <v>22</v>
      </c>
      <c r="C16" s="135" t="s">
        <v>125</v>
      </c>
      <c r="D16" s="136"/>
      <c r="E16" s="137"/>
      <c r="F16" s="99" t="s">
        <v>109</v>
      </c>
      <c r="G16" s="100"/>
      <c r="H16" s="99" t="s">
        <v>112</v>
      </c>
      <c r="I16" s="100"/>
      <c r="J16" s="99" t="s">
        <v>113</v>
      </c>
      <c r="K16" s="100"/>
      <c r="L16" s="99" t="s">
        <v>110</v>
      </c>
      <c r="M16" s="100"/>
      <c r="N16" s="99" t="s">
        <v>111</v>
      </c>
      <c r="O16" s="100"/>
      <c r="P16" s="145">
        <v>0.3</v>
      </c>
      <c r="Q16" s="146"/>
      <c r="R16" s="19" t="s">
        <v>114</v>
      </c>
      <c r="S16" s="19" t="s">
        <v>115</v>
      </c>
      <c r="T16" s="19" t="s">
        <v>116</v>
      </c>
      <c r="U16" s="19" t="s">
        <v>114</v>
      </c>
      <c r="V16" s="19" t="s">
        <v>115</v>
      </c>
      <c r="W16" s="19" t="s">
        <v>116</v>
      </c>
    </row>
    <row r="17" spans="2:23" ht="37.200000000000003" customHeight="1" x14ac:dyDescent="0.3">
      <c r="B17" s="182"/>
      <c r="C17" s="183"/>
      <c r="D17" s="184"/>
      <c r="E17" s="185"/>
      <c r="F17" s="186"/>
      <c r="G17" s="187"/>
      <c r="H17" s="186"/>
      <c r="I17" s="187"/>
      <c r="J17" s="186"/>
      <c r="K17" s="187"/>
      <c r="L17" s="186"/>
      <c r="M17" s="187"/>
      <c r="N17" s="186"/>
      <c r="O17" s="187"/>
      <c r="P17" s="169"/>
      <c r="Q17" s="170"/>
      <c r="R17" s="20"/>
      <c r="S17" s="20"/>
      <c r="T17" s="20"/>
      <c r="U17" s="22">
        <f>P16*R17</f>
        <v>0</v>
      </c>
      <c r="V17" s="22">
        <f>P16*S17</f>
        <v>0</v>
      </c>
      <c r="W17" s="22">
        <f>P16*T17</f>
        <v>0</v>
      </c>
    </row>
    <row r="18" spans="2:23" ht="28.8" x14ac:dyDescent="0.3">
      <c r="B18" s="178" t="s">
        <v>9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9"/>
      <c r="U18" s="19" t="s">
        <v>114</v>
      </c>
      <c r="V18" s="19" t="s">
        <v>115</v>
      </c>
      <c r="W18" s="19" t="s">
        <v>116</v>
      </c>
    </row>
    <row r="19" spans="2:23" ht="24.6" customHeight="1" thickBot="1" x14ac:dyDescent="0.35"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1"/>
      <c r="U19" s="21">
        <f>U8+U10+U12+U15+U17</f>
        <v>0</v>
      </c>
      <c r="V19" s="21">
        <f>U8+U10+U12+V15+V17</f>
        <v>0</v>
      </c>
      <c r="W19" s="21">
        <f>U8+U10+U12+W15+W17</f>
        <v>0</v>
      </c>
    </row>
    <row r="20" spans="2:23" ht="15" thickTop="1" x14ac:dyDescent="0.3"/>
    <row r="21" spans="2:23" x14ac:dyDescent="0.3"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spans="2:23" x14ac:dyDescent="0.3">
      <c r="B22" s="16"/>
      <c r="C22" s="17"/>
      <c r="D22" s="17"/>
      <c r="E22" s="17"/>
      <c r="F22" s="17"/>
      <c r="G22" s="17"/>
    </row>
    <row r="23" spans="2:23" x14ac:dyDescent="0.3">
      <c r="B23" s="16"/>
      <c r="C23" s="17"/>
      <c r="D23" s="17"/>
      <c r="E23" s="17"/>
      <c r="F23" s="17"/>
      <c r="G23" s="17"/>
    </row>
    <row r="24" spans="2:23" x14ac:dyDescent="0.3">
      <c r="B24" s="16"/>
      <c r="C24" s="17"/>
      <c r="D24" s="17"/>
      <c r="E24" s="17"/>
      <c r="F24" s="17"/>
      <c r="G24" s="17"/>
    </row>
    <row r="25" spans="2:23" x14ac:dyDescent="0.3">
      <c r="B25" s="16"/>
      <c r="C25" s="17"/>
      <c r="D25" s="17"/>
      <c r="E25" s="17"/>
      <c r="F25" s="17"/>
      <c r="G25" s="17"/>
    </row>
  </sheetData>
  <mergeCells count="59">
    <mergeCell ref="B18:T19"/>
    <mergeCell ref="F12:G13"/>
    <mergeCell ref="H12:I13"/>
    <mergeCell ref="J12:K13"/>
    <mergeCell ref="L12:M13"/>
    <mergeCell ref="N12:O13"/>
    <mergeCell ref="B16:B17"/>
    <mergeCell ref="C16:E17"/>
    <mergeCell ref="F16:G17"/>
    <mergeCell ref="H16:I17"/>
    <mergeCell ref="J16:K17"/>
    <mergeCell ref="L16:M17"/>
    <mergeCell ref="N16:O17"/>
    <mergeCell ref="L14:M15"/>
    <mergeCell ref="N14:O15"/>
    <mergeCell ref="P14:Q15"/>
    <mergeCell ref="B6:B7"/>
    <mergeCell ref="C6:E7"/>
    <mergeCell ref="F6:O6"/>
    <mergeCell ref="P6:Q7"/>
    <mergeCell ref="B2:E4"/>
    <mergeCell ref="U6:W7"/>
    <mergeCell ref="F7:G7"/>
    <mergeCell ref="H7:I7"/>
    <mergeCell ref="J7:K7"/>
    <mergeCell ref="L7:M7"/>
    <mergeCell ref="N7:O7"/>
    <mergeCell ref="R6:T7"/>
    <mergeCell ref="N8:O9"/>
    <mergeCell ref="P8:Q9"/>
    <mergeCell ref="R8:T9"/>
    <mergeCell ref="U8:W9"/>
    <mergeCell ref="B10:B11"/>
    <mergeCell ref="C10:E11"/>
    <mergeCell ref="F10:G11"/>
    <mergeCell ref="H10:I11"/>
    <mergeCell ref="J10:K11"/>
    <mergeCell ref="L10:M11"/>
    <mergeCell ref="B8:B9"/>
    <mergeCell ref="C8:E9"/>
    <mergeCell ref="F8:G9"/>
    <mergeCell ref="H8:I9"/>
    <mergeCell ref="J8:K9"/>
    <mergeCell ref="L8:M9"/>
    <mergeCell ref="B12:B13"/>
    <mergeCell ref="C12:E13"/>
    <mergeCell ref="P12:Q13"/>
    <mergeCell ref="B14:B15"/>
    <mergeCell ref="C14:E15"/>
    <mergeCell ref="F14:G15"/>
    <mergeCell ref="H14:I15"/>
    <mergeCell ref="J14:K15"/>
    <mergeCell ref="P16:Q17"/>
    <mergeCell ref="N10:O11"/>
    <mergeCell ref="P10:Q11"/>
    <mergeCell ref="R10:T11"/>
    <mergeCell ref="U10:W11"/>
    <mergeCell ref="R12:T13"/>
    <mergeCell ref="U12:W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MAKLUMAT PELAJAR &amp; PROJEK</vt:lpstr>
      <vt:lpstr>TECHNICAL REPORT (15%)</vt:lpstr>
      <vt:lpstr>PROJECT INNOVATION (10%)</vt:lpstr>
      <vt:lpstr>PROJECT DEMONSTRATION (10%)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Hazwani Binti Rahmat</dc:creator>
  <cp:lastModifiedBy>Hazwani Binti Rahmat</cp:lastModifiedBy>
  <dcterms:created xsi:type="dcterms:W3CDTF">2025-10-15T13:13:09Z</dcterms:created>
  <dcterms:modified xsi:type="dcterms:W3CDTF">2026-03-11T12:50:05Z</dcterms:modified>
</cp:coreProperties>
</file>