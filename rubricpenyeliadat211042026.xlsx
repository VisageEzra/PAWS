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hmedumy-my.sharepoint.com/personal/hazwani_uthm_edu_my/Documents/GDRIVE/16_2026_sem2_FYP2/RUBRIC/"/>
    </mc:Choice>
  </mc:AlternateContent>
  <xr:revisionPtr revIDLastSave="674" documentId="13_ncr:1_{878CB3E2-D71B-45FF-BA68-988435F5EE7B}" xr6:coauthVersionLast="47" xr6:coauthVersionMax="47" xr10:uidLastSave="{D53589E0-F04E-4BBB-B789-F847689905DB}"/>
  <bookViews>
    <workbookView xWindow="-108" yWindow="-108" windowWidth="23256" windowHeight="12456" tabRatio="868" activeTab="1" xr2:uid="{07433AAA-708B-4140-B6F4-4FF496A4B959}"/>
  </bookViews>
  <sheets>
    <sheet name="MAKLUMAT PELAJAR &amp; PROJEK" sheetId="4" r:id="rId1"/>
    <sheet name="TECHNICAL PAPER (15%)" sheetId="1" r:id="rId2"/>
    <sheet name="FINAL REPORT (20%)" sheetId="2" r:id="rId3"/>
    <sheet name="LOGBOOK (5%)" sheetId="3" r:id="rId4"/>
    <sheet name="PROJECT INNOVATION (25%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" i="5" l="1"/>
  <c r="U17" i="5" l="1"/>
  <c r="U24" i="5"/>
  <c r="U26" i="5"/>
  <c r="U28" i="5"/>
  <c r="U38" i="5"/>
  <c r="U34" i="5"/>
  <c r="U11" i="5"/>
  <c r="U19" i="5" s="1"/>
  <c r="U40" i="5"/>
  <c r="U32" i="5"/>
  <c r="U30" i="5"/>
  <c r="U42" i="5" s="1"/>
  <c r="W14" i="3"/>
  <c r="W12" i="3"/>
  <c r="U12" i="3"/>
  <c r="V14" i="3"/>
  <c r="V12" i="3"/>
  <c r="W10" i="3"/>
  <c r="V10" i="3"/>
  <c r="W8" i="3"/>
  <c r="V8" i="3"/>
  <c r="U15" i="5"/>
  <c r="U13" i="5"/>
  <c r="U9" i="5"/>
  <c r="T18" i="2"/>
  <c r="T20" i="1"/>
  <c r="T18" i="1"/>
  <c r="T16" i="1"/>
  <c r="T14" i="1"/>
  <c r="T12" i="1"/>
  <c r="T10" i="1"/>
  <c r="T8" i="1"/>
  <c r="T22" i="1"/>
  <c r="J27" i="4" s="1"/>
  <c r="T20" i="2"/>
  <c r="T16" i="2"/>
  <c r="T14" i="2"/>
  <c r="T12" i="2"/>
  <c r="T8" i="2"/>
  <c r="T10" i="2"/>
  <c r="U8" i="3"/>
  <c r="U10" i="3"/>
  <c r="U16" i="3" s="1"/>
  <c r="J31" i="4" s="1"/>
  <c r="U14" i="3"/>
  <c r="T22" i="2" l="1"/>
  <c r="J29" i="4" s="1"/>
  <c r="U43" i="5"/>
  <c r="J33" i="4" s="1"/>
  <c r="W16" i="3"/>
  <c r="V16" i="3"/>
  <c r="J35" i="4" l="1"/>
</calcChain>
</file>

<file path=xl/sharedStrings.xml><?xml version="1.0" encoding="utf-8"?>
<sst xmlns="http://schemas.openxmlformats.org/spreadsheetml/2006/main" count="313" uniqueCount="229">
  <si>
    <t>KRITERIA</t>
  </si>
  <si>
    <t>TAHAP PENILAIAN</t>
  </si>
  <si>
    <t>PEMBERAT</t>
  </si>
  <si>
    <t>SKOR</t>
  </si>
  <si>
    <t>PEMBERAT x SKALA</t>
  </si>
  <si>
    <t>1- TIDAK MEMUASKAN</t>
  </si>
  <si>
    <t>2- KURANG MEMUASKAN</t>
  </si>
  <si>
    <t>3. SEDERHANA</t>
  </si>
  <si>
    <t>4-MEMUASKAN</t>
  </si>
  <si>
    <t>5-SANGAT MEMUASKAN</t>
  </si>
  <si>
    <t>JUMLAH MARKAH KESELURUHAN (15%)</t>
  </si>
  <si>
    <t>1. MAKLUMAT PELAJAR &amp; PROJEK</t>
  </si>
  <si>
    <t>BIL</t>
  </si>
  <si>
    <t>NAMA PELAJAR</t>
  </si>
  <si>
    <t>NO MATRIK</t>
  </si>
  <si>
    <t>TAJUK PROJEK</t>
  </si>
  <si>
    <t>KATEGORI</t>
  </si>
  <si>
    <t xml:space="preserve">JUMLAH MARKAH </t>
  </si>
  <si>
    <t>ITEM</t>
  </si>
  <si>
    <t>MARKAH</t>
  </si>
  <si>
    <t>Tidak direkodkan atau sangat minima iaitu kurang dari 7 minggu.</t>
  </si>
  <si>
    <t>Rekod lengkap tetapi penghantaran lewat dari minggu semasa.</t>
  </si>
  <si>
    <t>Rekod lengkap, teratur, dan dihantar mengikut dateline.</t>
  </si>
  <si>
    <t>Rekod lengkap dan dihantar mengikut dateline tetapi kurang teratur.</t>
  </si>
  <si>
    <t>Rekod hampir lengkap tetapi penghantaran lewat dari minggu semasa.</t>
  </si>
  <si>
    <r>
      <t xml:space="preserve">METODOLOGI
</t>
    </r>
    <r>
      <rPr>
        <i/>
        <u/>
        <sz val="11"/>
        <color theme="1"/>
        <rFont val="Aptos Narrow"/>
        <family val="2"/>
        <scheme val="minor"/>
      </rPr>
      <t>Menyediakan</t>
    </r>
    <r>
      <rPr>
        <i/>
        <sz val="11"/>
        <color theme="1"/>
        <rFont val="Aptos Narrow"/>
        <family val="2"/>
        <scheme val="minor"/>
      </rPr>
      <t xml:space="preserve"> perancangan pelaksanaan projek.</t>
    </r>
  </si>
  <si>
    <t>DOMAIN COGNITIF</t>
  </si>
  <si>
    <t>C2
JELAS</t>
  </si>
  <si>
    <t>C2
BINCANG</t>
  </si>
  <si>
    <t>C3
APLIKASI</t>
  </si>
  <si>
    <t>DOMAIN AFEKTIF</t>
  </si>
  <si>
    <t>A4
PENGURUSAN</t>
  </si>
  <si>
    <t>A2 
BERTINDAK</t>
  </si>
  <si>
    <t>A3
MENILAI</t>
  </si>
  <si>
    <r>
      <t xml:space="preserve">PELAPORAN
</t>
    </r>
    <r>
      <rPr>
        <i/>
        <u/>
        <sz val="11"/>
        <color theme="1"/>
        <rFont val="Aptos Narrow"/>
        <family val="2"/>
        <scheme val="minor"/>
      </rPr>
      <t>Melaporkan</t>
    </r>
    <r>
      <rPr>
        <b/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kamajuan logbook mengikut masa</t>
    </r>
  </si>
  <si>
    <t>Rekod menunjukkan tiada kerjasama antara ahli kumpulan</t>
  </si>
  <si>
    <t>Rekod menunjukkan minimal dan kurang berkerjasama antara ahli kumpulan</t>
  </si>
  <si>
    <t>Rekod menunjukkan kerjasama antara ahli  kumpulan baik tetapi tidak bersungguh-sungguh</t>
  </si>
  <si>
    <t>Rekod menunjukkan kerjasama antara ahli  kumpulan baik</t>
  </si>
  <si>
    <t>Rekod menunjukkan kerjasama antara ahli  kumpulan sangat baik dalam menyelesaikan masalah bersama</t>
  </si>
  <si>
    <t>FINAL REPORT</t>
  </si>
  <si>
    <t>TECHNICAL PAPER</t>
  </si>
  <si>
    <t xml:space="preserve">  1. TECHNICAL REPORT (15%)</t>
  </si>
  <si>
    <t>C3
GUNA</t>
  </si>
  <si>
    <r>
      <t xml:space="preserve">PLAGIAT                                    
</t>
    </r>
    <r>
      <rPr>
        <i/>
        <u/>
        <sz val="11"/>
        <color theme="1"/>
        <rFont val="Aptos Narrow"/>
        <family val="2"/>
        <scheme val="minor"/>
      </rPr>
      <t>Melaporkan</t>
    </r>
    <r>
      <rPr>
        <i/>
        <sz val="11"/>
        <color theme="1"/>
        <rFont val="Aptos Narrow"/>
        <family val="2"/>
        <scheme val="minor"/>
      </rPr>
      <t xml:space="preserve"> kadar plagiat di dalam penulisan</t>
    </r>
  </si>
  <si>
    <t>Plagiat &gt; 60% atau 
AI generated content &gt; 60%</t>
  </si>
  <si>
    <t>Plagiat diantara 50-60% dan 
AI generated content  50-60%</t>
  </si>
  <si>
    <t>Plagiat diantara 30-49% dan 
AI generated content  30-49%</t>
  </si>
  <si>
    <t xml:space="preserve">Plagiat diantara 10- 29% dan 
AI generated content 10- 29% </t>
  </si>
  <si>
    <t xml:space="preserve">Plagiat &lt; 10% dan 
AI generated content &lt; 10% </t>
  </si>
  <si>
    <r>
      <t xml:space="preserve">ABSTRAK
</t>
    </r>
    <r>
      <rPr>
        <i/>
        <u/>
        <sz val="11"/>
        <color theme="1"/>
        <rFont val="Aptos Narrow"/>
        <family val="2"/>
        <scheme val="minor"/>
      </rPr>
      <t>Menjelaskan</t>
    </r>
    <r>
      <rPr>
        <i/>
        <sz val="11"/>
        <color theme="1"/>
        <rFont val="Aptos Narrow"/>
        <family val="2"/>
        <scheme val="minor"/>
      </rPr>
      <t xml:space="preserve"> gambaran keseluruhan projek</t>
    </r>
  </si>
  <si>
    <t>Penerangan tidak jelas dan tidak lengkap.</t>
  </si>
  <si>
    <t>Penerangan kurang  jelas dan terdapat kesilapan.</t>
  </si>
  <si>
    <t>Penerangan jelas tetapi tidak menggambarkan maklumat utama.</t>
  </si>
  <si>
    <t>Penerangan memuaskan tetapi tidak menggambarkan maklumat utama.</t>
  </si>
  <si>
    <t>Penerangan tepat dan lengkap.</t>
  </si>
  <si>
    <t>C1
INGAT</t>
  </si>
  <si>
    <r>
      <t xml:space="preserve">PENGENALAN
</t>
    </r>
    <r>
      <rPr>
        <i/>
        <u/>
        <sz val="11"/>
        <color theme="1"/>
        <rFont val="Aptos Narrow"/>
        <family val="2"/>
        <scheme val="minor"/>
      </rPr>
      <t>Menjelaskan</t>
    </r>
    <r>
      <rPr>
        <sz val="11"/>
        <color theme="1"/>
        <rFont val="Aptos Narrow"/>
        <family val="2"/>
        <scheme val="minor"/>
      </rPr>
      <t xml:space="preserve"> latarbelakang projek, pernyataan masalah  jelas</t>
    </r>
  </si>
  <si>
    <t>Maklumat tidak jelas dan mengelirukan / tiada sumber rujukan</t>
  </si>
  <si>
    <t>Penjelasan ringkas dan  menggunakan sumber outdated / tidak relevan / tidak sahih.</t>
  </si>
  <si>
    <t>Penjelasan memuaskan dan menggunakan sumber terkini / relevan / sahih.</t>
  </si>
  <si>
    <t>Penjelasan memuaskan dan menggunakan sumber terkini ,  relevan dan sahih.</t>
  </si>
  <si>
    <t>Penjelasan tepat, menarik, lengkap dan menggunakan sumber terkini, relevan dan sahih.</t>
  </si>
  <si>
    <r>
      <t xml:space="preserve">METODOLOGI
</t>
    </r>
    <r>
      <rPr>
        <i/>
        <u/>
        <sz val="11"/>
        <color theme="1"/>
        <rFont val="Aptos Narrow"/>
        <family val="2"/>
        <scheme val="minor"/>
      </rPr>
      <t>Menjelaskan</t>
    </r>
    <r>
      <rPr>
        <i/>
        <sz val="11"/>
        <color theme="1"/>
        <rFont val="Aptos Narrow"/>
        <family val="2"/>
        <scheme val="minor"/>
      </rPr>
      <t xml:space="preserve"> konsep rekabentuk dan prosedur pembangunan projek.</t>
    </r>
  </si>
  <si>
    <t>Penerangan tidak melibatkan konsep / prosedur terlibat dalam pembangunan projek.</t>
  </si>
  <si>
    <t>Penerangan konsep / prosedur tidak  jelas /  sangat ringkas / tidak  berkait antara fasa.</t>
  </si>
  <si>
    <t>Penerangan konsep / prosedur kurang  jelas, agak ringkas tetapi berkait antara fasa.</t>
  </si>
  <si>
    <t>Penerangan konsep / prosedur jelas, agak lengkap dan berkait antara fasa.</t>
  </si>
  <si>
    <t>Penerangan konsep dan prosedur tepat, menyeluruh  dan berkait antara fasa.</t>
  </si>
  <si>
    <t>C2
FAHAM</t>
  </si>
  <si>
    <r>
      <t xml:space="preserve">KEPUTUSAN &amp; PERBINCANGAN
</t>
    </r>
    <r>
      <rPr>
        <i/>
        <u/>
        <sz val="11"/>
        <color theme="1"/>
        <rFont val="Aptos Narrow"/>
        <family val="2"/>
        <scheme val="minor"/>
      </rPr>
      <t>Membincangkan</t>
    </r>
    <r>
      <rPr>
        <i/>
        <sz val="11"/>
        <color theme="1"/>
        <rFont val="Aptos Narrow"/>
        <family val="2"/>
        <scheme val="minor"/>
      </rPr>
      <t xml:space="preserve">  hasil dapatan menggunakan analisa yang sesuai. </t>
    </r>
  </si>
  <si>
    <t>Analisa hasil dapatan silap / tiada perbincangan.</t>
  </si>
  <si>
    <t xml:space="preserve">Analisa hasil dapatan ringkas dan perbincangan terlalu ringkas. </t>
  </si>
  <si>
    <t xml:space="preserve">Analisa hasil dapatan / perbincangan maklumbalas tidak lengkap. </t>
  </si>
  <si>
    <t xml:space="preserve">Analisa hasil dapatan dan perbincangan maklumbalas memuaskan. </t>
  </si>
  <si>
    <t xml:space="preserve">Analisa hasil dapatan terperinci dan perbincangan maklumbalas dengan teliti. </t>
  </si>
  <si>
    <r>
      <t xml:space="preserve">KESIMPULAN                                
</t>
    </r>
    <r>
      <rPr>
        <i/>
        <u/>
        <sz val="11"/>
        <color theme="1"/>
        <rFont val="Aptos Narrow"/>
        <family val="2"/>
        <scheme val="minor"/>
      </rPr>
      <t>Melaporkan</t>
    </r>
    <r>
      <rPr>
        <i/>
        <sz val="11"/>
        <color theme="1"/>
        <rFont val="Aptos Narrow"/>
        <family val="2"/>
        <scheme val="minor"/>
      </rPr>
      <t xml:space="preserve"> ringkasan kandungan berkaitan objektif laporan.</t>
    </r>
  </si>
  <si>
    <t>Kesimpulan berulang / tidak jelas / tidak berkait dengan objektif laporan.</t>
  </si>
  <si>
    <t>Kesimpulan terlalu ringkas, tetapi tepat dan merujuk objektif laporan.</t>
  </si>
  <si>
    <t>Kesimpulan lemah dan kurang  tepat.</t>
  </si>
  <si>
    <t>Kesimpulan memuaskan dan merujuk objektif laporan.</t>
  </si>
  <si>
    <t>Kesimpulan tepat, padat dan merujuk objektif laporan.</t>
  </si>
  <si>
    <r>
      <t xml:space="preserve">RUJUKAN                                
</t>
    </r>
    <r>
      <rPr>
        <i/>
        <u/>
        <sz val="11"/>
        <color theme="1"/>
        <rFont val="Aptos Narrow"/>
        <family val="2"/>
        <scheme val="minor"/>
      </rPr>
      <t>Mengunakan</t>
    </r>
    <r>
      <rPr>
        <i/>
        <sz val="11"/>
        <color theme="1"/>
        <rFont val="Aptos Narrow"/>
        <family val="2"/>
        <scheme val="minor"/>
      </rPr>
      <t xml:space="preserve"> sumber rujukan yang mencukupi.</t>
    </r>
  </si>
  <si>
    <t>Sitasi &lt;  6</t>
  </si>
  <si>
    <t>Sitasi hanya  6</t>
  </si>
  <si>
    <t>Sitasi &gt; 6, tidak terkini atau kurang sahih</t>
  </si>
  <si>
    <t>Sitasi  ≤ 6, sahih dan terkini</t>
  </si>
  <si>
    <t>Sitasi &gt; 6, sahih dan terkini</t>
  </si>
  <si>
    <t xml:space="preserve">  2. FINAL REPORT (20%)</t>
  </si>
  <si>
    <t>Maklumat tidak jelas dan
 terlalu ringkas.</t>
  </si>
  <si>
    <t>Pengenalpastian masalah dikaitkan kepada isu dengan betul, tetapi tiada sitasi.</t>
  </si>
  <si>
    <t>Pengenalpastian masalah dikaitkan kepada isu dengan betul, tetapi kurang sitasi.</t>
  </si>
  <si>
    <t>Pengenalpastian masalah dikaitkan kepada isu dengan menarik,  lengkap, kurang  / tiada sitasi.</t>
  </si>
  <si>
    <t>Pengenalpastian masalah dikaitkan kepada isu dengan menarik,  lengkap, beserta sitasi.</t>
  </si>
  <si>
    <t>Menggabungkan maklumat yang kurang jelas dari pelbagai sumber kurang sahih / rujukan tidak relevan.</t>
  </si>
  <si>
    <t>Sintesis maklumat  jelas,  
 sumber agak sahih 
(Contoh: Scholar)
dan relevan</t>
  </si>
  <si>
    <t>Sintesis maklumat menyeluruh , 
menarik, relevan,  sumber sahih  
(Contoh: scopus)</t>
  </si>
  <si>
    <t>Penerangan ringkas dan tidak jelas,  tiada teknik pengumpulan data  /  tiada Gantt chart</t>
  </si>
  <si>
    <t>Penerangan  tidak selari dengan Gantt Chart,  pemilihan teknik  pengumpulan data kurang tepat /  aktiviti dimasukkan ke fasa yang salah</t>
  </si>
  <si>
    <t>Penerangan ringkas tapi selari dengan Gantt Chart, pemilihan teknik betul pengumpulan data dan aktiviti sesuai  bagi setiap fasa.</t>
  </si>
  <si>
    <t>Penerangan jelas dan selari dengan Gantt Chart, pemilihan teknik pengumpulan data yang betul dan aktiviti sesuai  bagi setiap fasa.</t>
  </si>
  <si>
    <t>Penerangan lengkap, jelas dan selari dengan Gantt Chart, pemilihan teknik pengumpulan data  yang tepat, aktiviti sesuai bagi setiap fasa.</t>
  </si>
  <si>
    <r>
      <t xml:space="preserve">GAYA DAN FORMAT PENULISAN 
</t>
    </r>
    <r>
      <rPr>
        <i/>
        <sz val="11"/>
        <color theme="1"/>
        <rFont val="Aptos Narrow"/>
        <family val="2"/>
        <scheme val="minor"/>
      </rPr>
      <t>Menggunakan format dan menyusun atur kandungan</t>
    </r>
  </si>
  <si>
    <t>Tidak berstruktur / Banyak kesilapan format atau  ejaan.</t>
  </si>
  <si>
    <t>Susun atur  kandungan kurang kemas, banyak kesilapan ejaan dan format</t>
  </si>
  <si>
    <t>Susun atur  kandungan kurang kemas / beberapa kesilapan ejaan atau  format.</t>
  </si>
  <si>
    <t>Susun atur kandungan kemas,  amat sedikit kesilapan ejaan/ format</t>
  </si>
  <si>
    <t>Susun atur kandungan kemas,  mengikut format dan tiada kesilapan ejaan.</t>
  </si>
  <si>
    <t>P1
IKUT</t>
  </si>
  <si>
    <t>Mengelirukan dan tidak konsisten</t>
  </si>
  <si>
    <t>Mengelirukan dan kurang konsisten</t>
  </si>
  <si>
    <t>Mengelirukan, agak konsisten</t>
  </si>
  <si>
    <t>Agak mudah difahami, konsisten</t>
  </si>
  <si>
    <t>Sangat mudah difahami, konsisten</t>
  </si>
  <si>
    <t xml:space="preserve">P2
GUNA </t>
  </si>
  <si>
    <r>
      <t xml:space="preserve">TEKNOLOGI
</t>
    </r>
    <r>
      <rPr>
        <i/>
        <u/>
        <sz val="11"/>
        <color theme="1"/>
        <rFont val="Aptos Narrow"/>
        <family val="2"/>
        <scheme val="minor"/>
      </rPr>
      <t>Menggunakan</t>
    </r>
    <r>
      <rPr>
        <i/>
        <sz val="11"/>
        <color theme="1"/>
        <rFont val="Aptos Narrow"/>
        <family val="2"/>
        <scheme val="minor"/>
      </rPr>
      <t xml:space="preserve"> teknologi dan peralatan bersesuaian</t>
    </r>
  </si>
  <si>
    <t>Hand coded dan 
localhost / public tunnel / emulator</t>
  </si>
  <si>
    <t>Hand coded / templat / design tools dan 
localhost / public tunnel / emulator</t>
  </si>
  <si>
    <t>Basic hand coded dan
free  hosting /app marketplace</t>
  </si>
  <si>
    <t>Hand coded terperinci / templat / design tools dan  
 free hosting /app marketplace</t>
  </si>
  <si>
    <t>Hand coded / templat / design tools 
dan framework, 
di  free hosting /app marketplace</t>
  </si>
  <si>
    <t>P3
KETEPATAN</t>
  </si>
  <si>
    <r>
      <t xml:space="preserve">INOVASI
</t>
    </r>
    <r>
      <rPr>
        <i/>
        <u/>
        <sz val="11"/>
        <color theme="1"/>
        <rFont val="Aptos Narrow"/>
        <family val="2"/>
        <scheme val="minor"/>
      </rPr>
      <t>Menunjukkan</t>
    </r>
    <r>
      <rPr>
        <i/>
        <sz val="11"/>
        <color theme="1"/>
        <rFont val="Aptos Narrow"/>
        <family val="2"/>
        <scheme val="minor"/>
      </rPr>
      <t xml:space="preserve"> inovasi asli, kreatif untuk  komuniti / masyarakat / industri</t>
    </r>
  </si>
  <si>
    <t>Idea tidak asli,  tidak kreatif untuk  komuniti / masyarakat / industri.</t>
  </si>
  <si>
    <t>Idea tidak asli, kurang kreatif untuk   komuniti / masyarakat / industri</t>
  </si>
  <si>
    <t>Idea asli, kreatif dan kurang membantu komuniti / masyarakat / industri (kegunaan individu)</t>
  </si>
  <si>
    <t>Idea asli, kreatif dan membantu komuniti / masyarakat / industri</t>
  </si>
  <si>
    <t>Idea asli,  amat kreatif dan membantu komuniti / masyarakat / industri</t>
  </si>
  <si>
    <t>P4
ARTIKULASI</t>
  </si>
  <si>
    <r>
      <t xml:space="preserve">FUNGSI
</t>
    </r>
    <r>
      <rPr>
        <i/>
        <u/>
        <sz val="11"/>
        <color theme="1"/>
        <rFont val="Aptos Narrow"/>
        <family val="2"/>
        <scheme val="minor"/>
      </rPr>
      <t>Membangunkan</t>
    </r>
    <r>
      <rPr>
        <i/>
        <sz val="11"/>
        <color theme="1"/>
        <rFont val="Aptos Narrow"/>
        <family val="2"/>
        <scheme val="minor"/>
      </rPr>
      <t xml:space="preserve"> projek yang efisyen.</t>
    </r>
  </si>
  <si>
    <r>
      <t xml:space="preserve">KEBOLEHPASARAN
</t>
    </r>
    <r>
      <rPr>
        <i/>
        <u/>
        <sz val="11"/>
        <color theme="1"/>
        <rFont val="Aptos Narrow"/>
        <family val="2"/>
        <scheme val="minor"/>
      </rPr>
      <t>Menghasilkan</t>
    </r>
    <r>
      <rPr>
        <i/>
        <sz val="11"/>
        <color theme="1"/>
        <rFont val="Aptos Narrow"/>
        <family val="2"/>
        <scheme val="minor"/>
      </rPr>
      <t xml:space="preserve"> projek bernilai tinggi dengan kerjasama komuniti / industri</t>
    </r>
  </si>
  <si>
    <t>Tiada nilai komersial</t>
  </si>
  <si>
    <t>Kurang nilai komersial</t>
  </si>
  <si>
    <t>Ada nilai komersial</t>
  </si>
  <si>
    <t>Nilai komersial tinggi, tetapi tiada  kerjasama komuniti / industri</t>
  </si>
  <si>
    <t>Nilai komersial tinggi dan
hasil kerjasama komuniti / industri</t>
  </si>
  <si>
    <t xml:space="preserve">JUMLAH MARKAH UMUM (10%)  </t>
  </si>
  <si>
    <r>
      <t xml:space="preserve">PENGENALAN               
</t>
    </r>
    <r>
      <rPr>
        <i/>
        <u/>
        <sz val="11"/>
        <rFont val="Aptos Narrow"/>
        <family val="2"/>
        <scheme val="minor"/>
      </rPr>
      <t xml:space="preserve">Menjelaskan </t>
    </r>
    <r>
      <rPr>
        <i/>
        <sz val="11"/>
        <rFont val="Aptos Narrow"/>
        <family val="2"/>
        <scheme val="minor"/>
      </rPr>
      <t>latarbelakang projek, pernyataan masalah  jelas</t>
    </r>
  </si>
  <si>
    <r>
      <t xml:space="preserve">KESIMPULAN                                
</t>
    </r>
    <r>
      <rPr>
        <i/>
        <sz val="11"/>
        <color theme="1"/>
        <rFont val="Aptos Narrow"/>
        <family val="2"/>
        <scheme val="minor"/>
      </rPr>
      <t>Mengenalpasti  cadangan penambahbaikan</t>
    </r>
  </si>
  <si>
    <t>JUMLAH MARKAH KESELURUHAN (20%)</t>
  </si>
  <si>
    <t>Menggabungkan maklumat yang  jelas dari beberapa sumber sahih /  rujukan relevan.</t>
  </si>
  <si>
    <t>Menggabungkan maklumat tidak jelas, 
 sumber  tidak sesuai 
(Contoh: website, blog)
/  banyak rujukan tidak relevan.</t>
  </si>
  <si>
    <r>
      <t xml:space="preserve">KAJIAN LITERATUR        
</t>
    </r>
    <r>
      <rPr>
        <i/>
        <u/>
        <sz val="11"/>
        <color theme="1"/>
        <rFont val="Aptos Narrow"/>
        <family val="2"/>
        <scheme val="minor"/>
      </rPr>
      <t>Membincangkan</t>
    </r>
    <r>
      <rPr>
        <i/>
        <sz val="11"/>
        <color theme="1"/>
        <rFont val="Aptos Narrow"/>
        <family val="2"/>
        <scheme val="minor"/>
      </rPr>
      <t xml:space="preserve"> sumber terkini dan dari penerbitan yang sahih/ relevan </t>
    </r>
  </si>
  <si>
    <t>Pelajar 1</t>
  </si>
  <si>
    <t>Pelajar 2</t>
  </si>
  <si>
    <t>Pelajar 3</t>
  </si>
  <si>
    <t xml:space="preserve">   3. LOGBOOK (5%)</t>
  </si>
  <si>
    <t xml:space="preserve">JUMLAH MARKAH KESELURUHAN (5%)  </t>
  </si>
  <si>
    <t>LOGBOOK</t>
  </si>
  <si>
    <t>JUMLAH KESELURUHAN (65%)</t>
  </si>
  <si>
    <t>PROJECT INNOVATION</t>
  </si>
  <si>
    <t xml:space="preserve">JUMLAH MARKAH KATEGORI (15%)  </t>
  </si>
  <si>
    <t xml:space="preserve">JUMLAH MARKAH KESELURUHAN (25%)  </t>
  </si>
  <si>
    <t>SISTEM</t>
  </si>
  <si>
    <t>MULTIMEDIA</t>
  </si>
  <si>
    <t>HYBRID</t>
  </si>
  <si>
    <r>
      <t xml:space="preserve">PENGUJIAN
</t>
    </r>
    <r>
      <rPr>
        <i/>
        <u/>
        <sz val="11"/>
        <color theme="1"/>
        <rFont val="Aptos Narrow"/>
        <family val="2"/>
        <scheme val="minor"/>
      </rPr>
      <t>Menggunakan</t>
    </r>
    <r>
      <rPr>
        <i/>
        <sz val="11"/>
        <color theme="1"/>
        <rFont val="Aptos Narrow"/>
        <family val="2"/>
        <scheme val="minor"/>
      </rPr>
      <t xml:space="preserve"> teknik sesuai bagi menguji objektif</t>
    </r>
  </si>
  <si>
    <t>Betul &amp; mencapai objektif</t>
  </si>
  <si>
    <t>Tepat &amp; mencapai objektif</t>
  </si>
  <si>
    <t>Tidak sesuai &amp; tidak mencapai objektif</t>
  </si>
  <si>
    <t>Kurang sesuai &amp; mencapai objektif</t>
  </si>
  <si>
    <t>Kurang sesuai &amp; tidak mencapai objektif</t>
  </si>
  <si>
    <t>Tambah baik proses sedia ada &amp; efisyen</t>
  </si>
  <si>
    <t xml:space="preserve"> Tiada pemahaman  business process &amp; tidak efisyen</t>
  </si>
  <si>
    <t>Tambah baik proses sedia ada &amp; perlu  penambahbaikan.</t>
  </si>
  <si>
    <t>Automasi &amp; efisyen</t>
  </si>
  <si>
    <t>Automasi &amp; tidak efiesyen</t>
  </si>
  <si>
    <r>
      <t xml:space="preserve">PROSES
</t>
    </r>
    <r>
      <rPr>
        <i/>
        <u/>
        <sz val="11"/>
        <color theme="1"/>
        <rFont val="Aptos Narrow"/>
        <family val="2"/>
        <scheme val="minor"/>
      </rPr>
      <t>Menambahbaik</t>
    </r>
    <r>
      <rPr>
        <i/>
        <sz val="11"/>
        <color theme="1"/>
        <rFont val="Aptos Narrow"/>
        <family val="2"/>
        <scheme val="minor"/>
      </rPr>
      <t xml:space="preserve"> proses sedia ada dengan efisyen</t>
    </r>
  </si>
  <si>
    <t>Beroperasi sepenuhnya sebagai satu sistem</t>
  </si>
  <si>
    <t>Beroperasi sepenuhnya sebagai satu sistem dengan ralat minor</t>
  </si>
  <si>
    <t>Beroperasi berasingan modul</t>
  </si>
  <si>
    <t>Beroperasi separa dengan ralat major</t>
  </si>
  <si>
    <t xml:space="preserve"> Tidak beroperasi langsung / projek tidak siap sepenuhnya</t>
  </si>
  <si>
    <r>
      <t xml:space="preserve">PANGKALAN DATA
</t>
    </r>
    <r>
      <rPr>
        <i/>
        <u/>
        <sz val="11"/>
        <color theme="1"/>
        <rFont val="Aptos Narrow"/>
        <family val="2"/>
        <scheme val="minor"/>
      </rPr>
      <t>Menyelia</t>
    </r>
    <r>
      <rPr>
        <i/>
        <sz val="11"/>
        <color theme="1"/>
        <rFont val="Aptos Narrow"/>
        <family val="2"/>
        <scheme val="minor"/>
      </rPr>
      <t xml:space="preserve"> proses manipulasi data</t>
    </r>
  </si>
  <si>
    <r>
      <t xml:space="preserve">KETEPATAN
</t>
    </r>
    <r>
      <rPr>
        <i/>
        <u/>
        <sz val="11"/>
        <color theme="1"/>
        <rFont val="Aptos Narrow"/>
        <family val="2"/>
        <scheme val="minor"/>
      </rPr>
      <t>Membangunkan</t>
    </r>
    <r>
      <rPr>
        <i/>
        <sz val="11"/>
        <color theme="1"/>
        <rFont val="Aptos Narrow"/>
        <family val="2"/>
        <scheme val="minor"/>
      </rPr>
      <t xml:space="preserve"> projek yang efisyen.</t>
    </r>
  </si>
  <si>
    <t>Hasil tidak tepat &amp; tidak konsisten</t>
  </si>
  <si>
    <t>Ketepatan hasil konsisten &amp; dipercayai</t>
  </si>
  <si>
    <t>Ketepatan hasil konsisten &amp; agak dipercayai</t>
  </si>
  <si>
    <r>
      <t xml:space="preserve">FUNGSI
</t>
    </r>
    <r>
      <rPr>
        <i/>
        <u/>
        <sz val="11"/>
        <color theme="1"/>
        <rFont val="Aptos Narrow"/>
        <family val="2"/>
        <scheme val="minor"/>
      </rPr>
      <t>Menghasilkan</t>
    </r>
    <r>
      <rPr>
        <i/>
        <sz val="11"/>
        <color theme="1"/>
        <rFont val="Aptos Narrow"/>
        <family val="2"/>
        <scheme val="minor"/>
      </rPr>
      <t xml:space="preserve"> projek bernilai tinggi dengan kerjasama komuniti / industri</t>
    </r>
  </si>
  <si>
    <t>Ketepatan kurang konsisten &amp; tidak tepat</t>
  </si>
  <si>
    <t>Skop kefungsian komprehensif</t>
  </si>
  <si>
    <t>Skop kefungsian terlalu kecil dan umum</t>
  </si>
  <si>
    <t>Skop kefungsian memuaskan</t>
  </si>
  <si>
    <t>Skop kefungsian kurang memuaskan</t>
  </si>
  <si>
    <t>Skop kefungsiann agak umum</t>
  </si>
  <si>
    <t>Sangat kreatif , mesra pengguna, amat berinteraktif dan beranimasi</t>
  </si>
  <si>
    <t>Kreatif, mesra pengguna dan berinteraktif serta beranimasi</t>
  </si>
  <si>
    <t>Kurang kreatif , mesra pengguna tetapi kurang interaktif/animasi</t>
  </si>
  <si>
    <t>Tidak menarik, kurang mesra pengguna dan kurang interaktif</t>
  </si>
  <si>
    <r>
      <t xml:space="preserve">INTERAKTIF
</t>
    </r>
    <r>
      <rPr>
        <i/>
        <u/>
        <sz val="11"/>
        <color theme="1"/>
        <rFont val="Aptos Narrow"/>
        <family val="2"/>
        <scheme val="minor"/>
      </rPr>
      <t>Membangunkan</t>
    </r>
    <r>
      <rPr>
        <i/>
        <sz val="11"/>
        <color theme="1"/>
        <rFont val="Aptos Narrow"/>
        <family val="2"/>
        <scheme val="minor"/>
      </rPr>
      <t xml:space="preserve"> projek mesra pengguna &amp; interaktif.</t>
    </r>
  </si>
  <si>
    <t>Ttidak mesra pengguna dan tidak interaktif</t>
  </si>
  <si>
    <t>CRUD gagal dan tiada fungsi carian.</t>
  </si>
  <si>
    <t>CRUD berjaya tanpa pertindanan data</t>
  </si>
  <si>
    <t>CRUD gagal dan data bertindan</t>
  </si>
  <si>
    <t>CRUD berjaya tetapi kebanyakan data bertindan</t>
  </si>
  <si>
    <t>CRUD berjaya tetapi beberapa data bertindan</t>
  </si>
  <si>
    <r>
      <t xml:space="preserve">KEBERGUNAAN
</t>
    </r>
    <r>
      <rPr>
        <i/>
        <u/>
        <sz val="11"/>
        <color theme="1"/>
        <rFont val="Aptos Narrow"/>
        <family val="2"/>
        <scheme val="minor"/>
      </rPr>
      <t xml:space="preserve">Mematuhi </t>
    </r>
    <r>
      <rPr>
        <i/>
        <sz val="11"/>
        <color theme="1"/>
        <rFont val="Aptos Narrow"/>
        <family val="2"/>
        <scheme val="minor"/>
      </rPr>
      <t>rekabentuk seragam dan mesra pengguna</t>
    </r>
  </si>
  <si>
    <r>
      <t xml:space="preserve">KANDUNGAN
</t>
    </r>
    <r>
      <rPr>
        <i/>
        <u/>
        <sz val="11"/>
        <color theme="1"/>
        <rFont val="Aptos Narrow"/>
        <family val="2"/>
        <scheme val="minor"/>
      </rPr>
      <t>Menunjukkan</t>
    </r>
    <r>
      <rPr>
        <i/>
        <sz val="11"/>
        <color theme="1"/>
        <rFont val="Aptos Narrow"/>
        <family val="2"/>
        <scheme val="minor"/>
      </rPr>
      <t xml:space="preserve"> inovasi asli, kreatif untuk  komuniti / masyarakat / industri</t>
    </r>
  </si>
  <si>
    <t>Konsep jelas &amp; seragam</t>
  </si>
  <si>
    <t>Konsep agak jelas &amp; seragam</t>
  </si>
  <si>
    <t>Konsep kurang jelas</t>
  </si>
  <si>
    <t>Konsep tidak jelas</t>
  </si>
  <si>
    <t>Tiada konsep tertentu</t>
  </si>
  <si>
    <r>
      <t xml:space="preserve">REKABENTUK
</t>
    </r>
    <r>
      <rPr>
        <i/>
        <u/>
        <sz val="11"/>
        <color theme="1"/>
        <rFont val="Aptos Narrow"/>
        <family val="2"/>
        <scheme val="minor"/>
      </rPr>
      <t>Menunjukkan</t>
    </r>
    <r>
      <rPr>
        <i/>
        <sz val="11"/>
        <color theme="1"/>
        <rFont val="Aptos Narrow"/>
        <family val="2"/>
        <scheme val="minor"/>
      </rPr>
      <t xml:space="preserve"> konsep rekabentuk &amp;  antaramuka</t>
    </r>
  </si>
  <si>
    <t xml:space="preserve">   4. PROJECT INNOVATION (10%)</t>
  </si>
  <si>
    <t>Mencukupi, amat sesuai dan mudah difahami</t>
  </si>
  <si>
    <t>Mencukupi, sesuai dan boleh difahami</t>
  </si>
  <si>
    <t>Mencukupi, sesuai tetapi kurang difahami</t>
  </si>
  <si>
    <t xml:space="preserve">Mencukupi, tetapi tidak sesuai </t>
  </si>
  <si>
    <t>Tidak mencukupi dan mengelirukan</t>
  </si>
  <si>
    <t>A1 
TERIMA</t>
  </si>
  <si>
    <t>Berjaya diaplikasi pada bidang yang dipilih secara efisyen</t>
  </si>
  <si>
    <t>Berjaya diaplikasi pada bidang yang dipilih</t>
  </si>
  <si>
    <t xml:space="preserve">Berjaya diaplikasi pada bidang yang dipilih tetapi kurang efisyen </t>
  </si>
  <si>
    <t>Berjaya diaplikasi pada bidang yang dipilih tetapi tidak efisyen</t>
  </si>
  <si>
    <t>Tidak berjaya diaplikasi pada bidang yang dipilih</t>
  </si>
  <si>
    <t>Cemerlang</t>
  </si>
  <si>
    <t>Baik</t>
  </si>
  <si>
    <t>Lemah / Minima</t>
  </si>
  <si>
    <t>Tidak konsisten / Perlu penambahbaikan</t>
  </si>
  <si>
    <t>Sederhana / Memuaskan</t>
  </si>
  <si>
    <r>
      <t xml:space="preserve">KOMITMEN
</t>
    </r>
    <r>
      <rPr>
        <i/>
        <u/>
        <sz val="11"/>
        <color theme="1"/>
        <rFont val="Aptos Narrow"/>
        <family val="2"/>
        <scheme val="minor"/>
      </rPr>
      <t>Mengutamakan</t>
    </r>
    <r>
      <rPr>
        <i/>
        <sz val="11"/>
        <color theme="1"/>
        <rFont val="Aptos Narrow"/>
        <family val="2"/>
        <scheme val="minor"/>
      </rPr>
      <t xml:space="preserve"> tanggungjawab individu terhadap kumpulan</t>
    </r>
  </si>
  <si>
    <r>
      <t xml:space="preserve">PERJUMPAAN
</t>
    </r>
    <r>
      <rPr>
        <i/>
        <u/>
        <sz val="11"/>
        <color theme="1"/>
        <rFont val="Aptos Narrow"/>
        <family val="2"/>
        <scheme val="minor"/>
      </rPr>
      <t>Menerangkan</t>
    </r>
    <r>
      <rPr>
        <i/>
        <sz val="11"/>
        <color theme="1"/>
        <rFont val="Aptos Narrow"/>
        <family val="2"/>
        <scheme val="minor"/>
      </rPr>
      <t xml:space="preserve"> kemajuan projek di dalam perjumpaan penyelia</t>
    </r>
  </si>
  <si>
    <r>
      <t xml:space="preserve">KERJASAMA
</t>
    </r>
    <r>
      <rPr>
        <i/>
        <u/>
        <sz val="11"/>
        <color theme="1"/>
        <rFont val="Aptos Narrow"/>
        <family val="2"/>
        <scheme val="minor"/>
      </rPr>
      <t>Menunjukkan</t>
    </r>
    <r>
      <rPr>
        <i/>
        <sz val="11"/>
        <color theme="1"/>
        <rFont val="Aptos Narrow"/>
        <family val="2"/>
        <scheme val="minor"/>
      </rPr>
      <t xml:space="preserve"> kesungguhan semangat berkumpulan</t>
    </r>
  </si>
  <si>
    <t>Berjumpa penyelia &lt;4 kali tanpa kemajuan</t>
  </si>
  <si>
    <t>Berjumpa penyelia 4-6 kali tanpa kemajuan</t>
  </si>
  <si>
    <t>Berjumpa penyelia 7-9 kali dengan kemajuan kecil</t>
  </si>
  <si>
    <t>Berjumpa penyelia 10-12 kali dengan kemajuan memuaskan</t>
  </si>
  <si>
    <t>Berjumpa penyelia 13-14 kali dengan kemajuan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</si>
</sst>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u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9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2" xfId="0" applyBorder="1"/>
    <xf numFmtId="0" fontId="3" fillId="5" borderId="9" xfId="0" applyFont="1" applyFill="1" applyBorder="1" applyAlignment="1">
      <alignment horizontal="center" vertical="center"/>
    </xf>
    <xf numFmtId="0" fontId="0" fillId="0" borderId="13" xfId="0" applyBorder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 applyProtection="1">
      <alignment horizontal="center" vertical="center"/>
      <protection locked="0"/>
    </xf>
    <xf numFmtId="0" fontId="0" fillId="6" borderId="8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>
      <alignment horizontal="center" vertical="center"/>
    </xf>
    <xf numFmtId="0" fontId="3" fillId="12" borderId="28" xfId="0" applyFont="1" applyFill="1" applyBorder="1" applyAlignment="1">
      <alignment horizontal="center" vertical="center" textRotation="90" wrapText="1"/>
    </xf>
    <xf numFmtId="0" fontId="3" fillId="12" borderId="23" xfId="0" applyFont="1" applyFill="1" applyBorder="1" applyAlignment="1">
      <alignment horizontal="center" vertical="center" textRotation="90" wrapText="1"/>
    </xf>
    <xf numFmtId="0" fontId="3" fillId="10" borderId="21" xfId="0" applyFont="1" applyFill="1" applyBorder="1" applyAlignment="1">
      <alignment horizontal="center" vertical="center" textRotation="90" wrapText="1"/>
    </xf>
    <xf numFmtId="0" fontId="3" fillId="10" borderId="23" xfId="0" applyFont="1" applyFill="1" applyBorder="1" applyAlignment="1">
      <alignment horizontal="center" vertical="center" textRotation="90" wrapText="1"/>
    </xf>
    <xf numFmtId="0" fontId="3" fillId="10" borderId="16" xfId="0" applyFont="1" applyFill="1" applyBorder="1" applyAlignment="1">
      <alignment horizontal="center" vertical="center" textRotation="90" wrapText="1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7" borderId="14" xfId="0" applyFill="1" applyBorder="1" applyAlignment="1" applyProtection="1">
      <alignment horizontal="center" vertical="center"/>
      <protection locked="0"/>
    </xf>
    <xf numFmtId="0" fontId="0" fillId="7" borderId="15" xfId="0" applyFill="1" applyBorder="1" applyAlignment="1" applyProtection="1">
      <alignment horizontal="center" vertical="center"/>
      <protection locked="0"/>
    </xf>
    <xf numFmtId="0" fontId="0" fillId="4" borderId="12" xfId="0" applyFill="1" applyBorder="1" applyAlignment="1" applyProtection="1">
      <alignment horizontal="center" vertical="center"/>
      <protection locked="0"/>
    </xf>
    <xf numFmtId="0" fontId="0" fillId="7" borderId="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 textRotation="90" wrapText="1"/>
    </xf>
    <xf numFmtId="0" fontId="3" fillId="11" borderId="23" xfId="0" applyFont="1" applyFill="1" applyBorder="1" applyAlignment="1">
      <alignment horizontal="center" vertical="center" textRotation="90" wrapText="1"/>
    </xf>
    <xf numFmtId="0" fontId="3" fillId="11" borderId="27" xfId="0" applyFont="1" applyFill="1" applyBorder="1" applyAlignment="1">
      <alignment horizontal="center" vertical="center" textRotation="90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0" fillId="7" borderId="1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13" borderId="8" xfId="0" applyFill="1" applyBorder="1" applyAlignment="1" applyProtection="1">
      <alignment horizontal="center" vertical="center"/>
      <protection locked="0"/>
    </xf>
    <xf numFmtId="0" fontId="0" fillId="13" borderId="9" xfId="0" applyFill="1" applyBorder="1" applyAlignment="1">
      <alignment horizontal="center" vertical="center"/>
    </xf>
    <xf numFmtId="0" fontId="4" fillId="0" borderId="17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1" fillId="13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4" xfId="0" applyFill="1" applyBorder="1" applyAlignment="1" applyProtection="1">
      <alignment horizontal="center" vertical="center"/>
      <protection locked="0"/>
    </xf>
    <xf numFmtId="0" fontId="0" fillId="13" borderId="5" xfId="0" applyFill="1" applyBorder="1" applyAlignment="1" applyProtection="1">
      <alignment horizontal="center" vertical="center"/>
      <protection locked="0"/>
    </xf>
    <xf numFmtId="0" fontId="0" fillId="13" borderId="16" xfId="0" applyFill="1" applyBorder="1" applyAlignment="1">
      <alignment horizontal="center" vertical="center"/>
    </xf>
    <xf numFmtId="0" fontId="0" fillId="4" borderId="21" xfId="0" applyFill="1" applyBorder="1" applyAlignment="1" applyProtection="1">
      <alignment horizontal="center" vertical="center"/>
      <protection locked="0"/>
    </xf>
    <xf numFmtId="0" fontId="0" fillId="6" borderId="21" xfId="0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0" fillId="4" borderId="9" xfId="0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88900</xdr:rowOff>
    </xdr:from>
    <xdr:to>
      <xdr:col>4</xdr:col>
      <xdr:colOff>841660</xdr:colOff>
      <xdr:row>8</xdr:row>
      <xdr:rowOff>53340</xdr:rowOff>
    </xdr:to>
    <xdr:pic>
      <xdr:nvPicPr>
        <xdr:cNvPr id="2" name="irc_mi" descr="Hasil carian imej untuk uthm">
          <a:extLst>
            <a:ext uri="{FF2B5EF4-FFF2-40B4-BE49-F238E27FC236}">
              <a16:creationId xmlns:a16="http://schemas.microsoft.com/office/drawing/2014/main" id="{2DD92DF3-8A00-4840-AB50-5F7E0EC92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860" y="683260"/>
          <a:ext cx="3003200" cy="8178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228600</xdr:colOff>
      <xdr:row>2</xdr:row>
      <xdr:rowOff>127000</xdr:rowOff>
    </xdr:from>
    <xdr:ext cx="9664700" cy="1308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E02E0A-3B36-4EBD-B653-6DF3DA159E95}"/>
            </a:ext>
          </a:extLst>
        </xdr:cNvPr>
        <xdr:cNvSpPr txBox="1"/>
      </xdr:nvSpPr>
      <xdr:spPr>
        <a:xfrm>
          <a:off x="5029200" y="523240"/>
          <a:ext cx="9664700" cy="1308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800" b="1">
              <a:latin typeface="Times New Roman" panose="02020603050405020304" pitchFamily="18" charset="0"/>
              <a:cs typeface="Times New Roman" panose="02020603050405020304" pitchFamily="18" charset="0"/>
            </a:rPr>
            <a:t>JABATAN</a:t>
          </a:r>
          <a:r>
            <a:rPr lang="en-GB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TEKNOLOGI MAKLUMAT</a:t>
          </a:r>
        </a:p>
        <a:p>
          <a:pPr algn="ctr"/>
          <a:r>
            <a:rPr lang="en-GB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PUSAT PENGAJIAN DIPLOMA</a:t>
          </a:r>
        </a:p>
        <a:p>
          <a:pPr algn="ctr"/>
          <a:r>
            <a:rPr lang="en-GB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PROJEK DIPLOMA (DAT 22104)</a:t>
          </a:r>
        </a:p>
        <a:p>
          <a:pPr algn="ctr"/>
          <a:r>
            <a:rPr lang="en-GB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RUBRIK PENYELIA</a:t>
          </a:r>
        </a:p>
        <a:p>
          <a:pPr algn="ctr"/>
          <a:endParaRPr lang="en-GB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15</xdr:col>
      <xdr:colOff>50800</xdr:colOff>
      <xdr:row>1</xdr:row>
      <xdr:rowOff>50800</xdr:rowOff>
    </xdr:from>
    <xdr:to>
      <xdr:col>19</xdr:col>
      <xdr:colOff>212954</xdr:colOff>
      <xdr:row>10</xdr:row>
      <xdr:rowOff>246406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1B664A-D361-454A-8FB2-7E41BC06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7460" y="248920"/>
          <a:ext cx="2600554" cy="1734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990599</xdr:colOff>
      <xdr:row>1</xdr:row>
      <xdr:rowOff>10885</xdr:rowOff>
    </xdr:from>
    <xdr:ext cx="12386211" cy="59336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692D77-C64F-4B29-BCCB-0A5C55B5264B}"/>
            </a:ext>
          </a:extLst>
        </xdr:cNvPr>
        <xdr:cNvSpPr txBox="1"/>
      </xdr:nvSpPr>
      <xdr:spPr>
        <a:xfrm>
          <a:off x="6156959" y="193765"/>
          <a:ext cx="12386211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/>
            <a:t>CLO 2 : Demonstrate effective teamwork and clear communication in decision making process for project development (PLO4, LOD7, MQF3b, C3)</a:t>
          </a:r>
          <a:b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MY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(Teamwork</a:t>
          </a:r>
          <a:r>
            <a:rPr lang="en-MY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skills</a:t>
          </a: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Applying)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1219200</xdr:colOff>
      <xdr:row>0</xdr:row>
      <xdr:rowOff>174172</xdr:rowOff>
    </xdr:from>
    <xdr:ext cx="12386211" cy="59336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F3E27E-FB2D-4E16-946D-91D4660D8494}"/>
            </a:ext>
          </a:extLst>
        </xdr:cNvPr>
        <xdr:cNvSpPr txBox="1"/>
      </xdr:nvSpPr>
      <xdr:spPr>
        <a:xfrm>
          <a:off x="6379029" y="174172"/>
          <a:ext cx="12386211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/>
            <a:t>CLO 2 : Demonstrate effective teamwork and clear communication in decision making process for project development (PLO4, LOD7, MQF3b, C3)</a:t>
          </a:r>
          <a:b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MY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(Teamwork</a:t>
          </a:r>
          <a:r>
            <a:rPr lang="en-MY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skills</a:t>
          </a:r>
          <a:r>
            <a:rPr lang="en-MY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Applying)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446315</xdr:colOff>
      <xdr:row>1</xdr:row>
      <xdr:rowOff>0</xdr:rowOff>
    </xdr:from>
    <xdr:ext cx="12678984" cy="59336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7F69E7-AFD9-4639-8A69-F464D3B7E223}"/>
            </a:ext>
          </a:extLst>
        </xdr:cNvPr>
        <xdr:cNvSpPr txBox="1"/>
      </xdr:nvSpPr>
      <xdr:spPr>
        <a:xfrm>
          <a:off x="4833258" y="185057"/>
          <a:ext cx="12678984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 2: Synthesize feedback from team members to propose effective solutions for resolving information technology issues (LOD7, PLO4, MQF3b, A4)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(Teamwork skills, organising)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783771</xdr:colOff>
      <xdr:row>2</xdr:row>
      <xdr:rowOff>1</xdr:rowOff>
    </xdr:from>
    <xdr:ext cx="10472057" cy="59336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0CA18A-16E8-4BD3-B560-1CFBCF78E4A8}"/>
            </a:ext>
          </a:extLst>
        </xdr:cNvPr>
        <xdr:cNvSpPr txBox="1"/>
      </xdr:nvSpPr>
      <xdr:spPr>
        <a:xfrm>
          <a:off x="7500257" y="370115"/>
          <a:ext cx="10472057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 1: Develop application or system to solve problems using latest technology tools or software (PLO3, LOD5, MQF3a, P4)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  (Practical skills,  Arcticulation)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4291-7869-4C44-B56E-88D6C289D230}">
  <sheetPr>
    <tabColor rgb="FFFFC000"/>
  </sheetPr>
  <dimension ref="A1:S36"/>
  <sheetViews>
    <sheetView zoomScale="70" zoomScaleNormal="70" workbookViewId="0">
      <selection activeCell="Q33" sqref="Q33"/>
    </sheetView>
  </sheetViews>
  <sheetFormatPr defaultColWidth="12.33203125" defaultRowHeight="14.4" x14ac:dyDescent="0.3"/>
  <cols>
    <col min="1" max="1" width="18.109375" customWidth="1"/>
    <col min="3" max="3" width="27.44140625" customWidth="1"/>
    <col min="4" max="4" width="12" customWidth="1"/>
    <col min="5" max="5" width="17.21875" customWidth="1"/>
    <col min="6" max="6" width="7.5546875" customWidth="1"/>
    <col min="7" max="7" width="17.44140625" customWidth="1"/>
    <col min="12" max="12" width="18.109375" customWidth="1"/>
    <col min="13" max="13" width="16.44140625" customWidth="1"/>
  </cols>
  <sheetData>
    <row r="1" spans="1:19" s="1" customFormat="1" x14ac:dyDescent="0.3">
      <c r="A1"/>
    </row>
    <row r="3" spans="1:19" x14ac:dyDescent="0.3">
      <c r="A3" s="165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7"/>
    </row>
    <row r="4" spans="1:19" x14ac:dyDescent="0.3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70"/>
    </row>
    <row r="5" spans="1:19" x14ac:dyDescent="0.3">
      <c r="A5" s="168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70"/>
    </row>
    <row r="6" spans="1:19" x14ac:dyDescent="0.3">
      <c r="A6" s="168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70"/>
    </row>
    <row r="7" spans="1:19" x14ac:dyDescent="0.3">
      <c r="A7" s="168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/>
    </row>
    <row r="8" spans="1:19" x14ac:dyDescent="0.3">
      <c r="A8" s="168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70"/>
    </row>
    <row r="9" spans="1:19" x14ac:dyDescent="0.3">
      <c r="A9" s="171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3"/>
    </row>
    <row r="11" spans="1:19" ht="21" x14ac:dyDescent="0.4">
      <c r="A11" s="174" t="s">
        <v>11</v>
      </c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6"/>
    </row>
    <row r="12" spans="1:19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</row>
    <row r="13" spans="1:19" ht="25.2" customHeight="1" x14ac:dyDescent="0.3">
      <c r="A13" s="7" t="s">
        <v>12</v>
      </c>
      <c r="B13" s="177" t="s">
        <v>13</v>
      </c>
      <c r="C13" s="178"/>
      <c r="D13" s="178"/>
      <c r="E13" s="178"/>
      <c r="F13" s="178"/>
      <c r="G13" s="178"/>
      <c r="H13" s="179"/>
      <c r="I13" s="177" t="s">
        <v>14</v>
      </c>
      <c r="J13" s="178"/>
      <c r="K13" s="179"/>
      <c r="L13" s="177" t="s">
        <v>15</v>
      </c>
      <c r="M13" s="178"/>
      <c r="N13" s="178"/>
      <c r="O13" s="178"/>
      <c r="P13" s="178"/>
      <c r="Q13" s="179"/>
      <c r="R13" s="177" t="s">
        <v>16</v>
      </c>
      <c r="S13" s="179"/>
    </row>
    <row r="14" spans="1:19" ht="18" customHeight="1" x14ac:dyDescent="0.3">
      <c r="A14" s="5">
        <v>1</v>
      </c>
      <c r="B14" s="156"/>
      <c r="C14" s="157"/>
      <c r="D14" s="157"/>
      <c r="E14" s="157"/>
      <c r="F14" s="157"/>
      <c r="G14" s="157"/>
      <c r="H14" s="158"/>
      <c r="I14" s="156"/>
      <c r="J14" s="157"/>
      <c r="K14" s="158"/>
      <c r="L14" s="159"/>
      <c r="M14" s="160"/>
      <c r="N14" s="160"/>
      <c r="O14" s="160"/>
      <c r="P14" s="160"/>
      <c r="Q14" s="161"/>
      <c r="R14" s="159"/>
      <c r="S14" s="161"/>
    </row>
    <row r="15" spans="1:19" ht="18" customHeight="1" x14ac:dyDescent="0.3">
      <c r="A15" s="5">
        <v>2</v>
      </c>
      <c r="B15" s="156"/>
      <c r="C15" s="157"/>
      <c r="D15" s="157"/>
      <c r="E15" s="157"/>
      <c r="F15" s="157"/>
      <c r="G15" s="157"/>
      <c r="H15" s="158"/>
      <c r="I15" s="156"/>
      <c r="J15" s="157"/>
      <c r="K15" s="158"/>
      <c r="L15" s="162"/>
      <c r="M15" s="163"/>
      <c r="N15" s="163"/>
      <c r="O15" s="163"/>
      <c r="P15" s="163"/>
      <c r="Q15" s="164"/>
      <c r="R15" s="162"/>
      <c r="S15" s="164"/>
    </row>
    <row r="16" spans="1:19" ht="18" customHeight="1" x14ac:dyDescent="0.3">
      <c r="A16" s="5">
        <v>3</v>
      </c>
      <c r="B16" s="156"/>
      <c r="C16" s="157"/>
      <c r="D16" s="157"/>
      <c r="E16" s="157"/>
      <c r="F16" s="157"/>
      <c r="G16" s="157"/>
      <c r="H16" s="158"/>
      <c r="I16" s="156"/>
      <c r="J16" s="157"/>
      <c r="K16" s="158"/>
      <c r="L16" s="162"/>
      <c r="M16" s="163"/>
      <c r="N16" s="163"/>
      <c r="O16" s="163"/>
      <c r="P16" s="163"/>
      <c r="Q16" s="164"/>
      <c r="R16" s="162"/>
      <c r="S16" s="164"/>
    </row>
    <row r="17" spans="1:19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21" spans="1:19" x14ac:dyDescent="0.3">
      <c r="A21" s="155" t="s">
        <v>17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</row>
    <row r="22" spans="1:19" x14ac:dyDescent="0.3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</row>
    <row r="25" spans="1:19" x14ac:dyDescent="0.3">
      <c r="F25" s="153" t="s">
        <v>12</v>
      </c>
      <c r="G25" s="153" t="s">
        <v>18</v>
      </c>
      <c r="H25" s="153"/>
      <c r="I25" s="153"/>
      <c r="J25" s="153" t="s">
        <v>19</v>
      </c>
      <c r="K25" s="153"/>
      <c r="L25" s="153"/>
    </row>
    <row r="26" spans="1:19" x14ac:dyDescent="0.3">
      <c r="F26" s="153"/>
      <c r="G26" s="153"/>
      <c r="H26" s="153"/>
      <c r="I26" s="153"/>
      <c r="J26" s="153"/>
      <c r="K26" s="153"/>
      <c r="L26" s="153"/>
    </row>
    <row r="27" spans="1:19" x14ac:dyDescent="0.3">
      <c r="F27" s="154">
        <v>1</v>
      </c>
      <c r="G27" s="154" t="s">
        <v>41</v>
      </c>
      <c r="H27" s="154"/>
      <c r="I27" s="154"/>
      <c r="J27" s="154">
        <f>'TECHNICAL PAPER (15%)'!T22</f>
        <v>0</v>
      </c>
      <c r="K27" s="154"/>
      <c r="L27" s="154"/>
    </row>
    <row r="28" spans="1:19" x14ac:dyDescent="0.3">
      <c r="F28" s="154"/>
      <c r="G28" s="154"/>
      <c r="H28" s="154"/>
      <c r="I28" s="154"/>
      <c r="J28" s="154"/>
      <c r="K28" s="154"/>
      <c r="L28" s="154"/>
    </row>
    <row r="29" spans="1:19" x14ac:dyDescent="0.3">
      <c r="F29" s="154">
        <v>2</v>
      </c>
      <c r="G29" s="154" t="s">
        <v>40</v>
      </c>
      <c r="H29" s="154"/>
      <c r="I29" s="154"/>
      <c r="J29" s="154">
        <f>'FINAL REPORT (20%)'!T22</f>
        <v>0</v>
      </c>
      <c r="K29" s="154"/>
      <c r="L29" s="154"/>
    </row>
    <row r="30" spans="1:19" x14ac:dyDescent="0.3">
      <c r="F30" s="154"/>
      <c r="G30" s="154"/>
      <c r="H30" s="154"/>
      <c r="I30" s="154"/>
      <c r="J30" s="154"/>
      <c r="K30" s="154"/>
      <c r="L30" s="154"/>
    </row>
    <row r="31" spans="1:19" x14ac:dyDescent="0.3">
      <c r="F31" s="154">
        <v>3</v>
      </c>
      <c r="G31" s="154" t="s">
        <v>148</v>
      </c>
      <c r="H31" s="154"/>
      <c r="I31" s="154"/>
      <c r="J31" s="154">
        <f>'LOGBOOK (5%)'!U16</f>
        <v>0</v>
      </c>
      <c r="K31" s="154"/>
      <c r="L31" s="154"/>
    </row>
    <row r="32" spans="1:19" x14ac:dyDescent="0.3">
      <c r="F32" s="154"/>
      <c r="G32" s="154"/>
      <c r="H32" s="154"/>
      <c r="I32" s="154"/>
      <c r="J32" s="154"/>
      <c r="K32" s="154"/>
      <c r="L32" s="154"/>
    </row>
    <row r="33" spans="6:12" x14ac:dyDescent="0.3">
      <c r="F33" s="154">
        <v>3</v>
      </c>
      <c r="G33" s="154" t="s">
        <v>150</v>
      </c>
      <c r="H33" s="154"/>
      <c r="I33" s="154"/>
      <c r="J33" s="154">
        <f>'PROJECT INNOVATION (25%)'!U43</f>
        <v>0</v>
      </c>
      <c r="K33" s="154"/>
      <c r="L33" s="154"/>
    </row>
    <row r="34" spans="6:12" x14ac:dyDescent="0.3">
      <c r="F34" s="154"/>
      <c r="G34" s="154"/>
      <c r="H34" s="154"/>
      <c r="I34" s="154"/>
      <c r="J34" s="154"/>
      <c r="K34" s="154"/>
      <c r="L34" s="154"/>
    </row>
    <row r="35" spans="6:12" x14ac:dyDescent="0.3">
      <c r="F35" s="153" t="s">
        <v>149</v>
      </c>
      <c r="G35" s="153"/>
      <c r="H35" s="153"/>
      <c r="I35" s="153"/>
      <c r="J35" s="153">
        <f>SUM(J27:L34)</f>
        <v>0</v>
      </c>
      <c r="K35" s="26"/>
      <c r="L35" s="26"/>
    </row>
    <row r="36" spans="6:12" x14ac:dyDescent="0.3">
      <c r="F36" s="153"/>
      <c r="G36" s="153"/>
      <c r="H36" s="153"/>
      <c r="I36" s="153"/>
      <c r="J36" s="26"/>
      <c r="K36" s="26"/>
      <c r="L36" s="26"/>
    </row>
  </sheetData>
  <mergeCells count="32">
    <mergeCell ref="A3:S9"/>
    <mergeCell ref="A11:S11"/>
    <mergeCell ref="B13:H13"/>
    <mergeCell ref="I13:K13"/>
    <mergeCell ref="L13:Q13"/>
    <mergeCell ref="R13:S13"/>
    <mergeCell ref="A21:S22"/>
    <mergeCell ref="F25:F26"/>
    <mergeCell ref="G25:I26"/>
    <mergeCell ref="J25:L26"/>
    <mergeCell ref="B14:H14"/>
    <mergeCell ref="I14:K14"/>
    <mergeCell ref="L14:Q16"/>
    <mergeCell ref="R14:S16"/>
    <mergeCell ref="B15:H15"/>
    <mergeCell ref="I15:K15"/>
    <mergeCell ref="B16:H16"/>
    <mergeCell ref="I16:K16"/>
    <mergeCell ref="F27:F28"/>
    <mergeCell ref="G27:I28"/>
    <mergeCell ref="J27:L28"/>
    <mergeCell ref="F29:F30"/>
    <mergeCell ref="G29:I30"/>
    <mergeCell ref="J29:L30"/>
    <mergeCell ref="F35:I36"/>
    <mergeCell ref="J35:L36"/>
    <mergeCell ref="F31:F32"/>
    <mergeCell ref="G31:I32"/>
    <mergeCell ref="J31:L32"/>
    <mergeCell ref="F33:F34"/>
    <mergeCell ref="G33:I34"/>
    <mergeCell ref="J33:L34"/>
  </mergeCells>
  <dataValidations disablePrompts="1" count="1">
    <dataValidation type="list" showInputMessage="1" showErrorMessage="1" sqref="R14:S16" xr:uid="{2D08D15E-A58E-45D1-8AC3-827CD4DBB46B}">
      <formula1>"K1: SYSTEM, K2: MULTIMEDIA/APLIKASI, K3: HIBRID"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AF58-385B-4A0C-8ADF-7DEEDF8B7FC1}">
  <sheetPr>
    <tabColor theme="7" tint="0.39997558519241921"/>
  </sheetPr>
  <dimension ref="B2:U23"/>
  <sheetViews>
    <sheetView tabSelected="1" zoomScale="70" zoomScaleNormal="70" workbookViewId="0">
      <selection activeCell="R8" sqref="R8:S21"/>
    </sheetView>
  </sheetViews>
  <sheetFormatPr defaultColWidth="12.33203125" defaultRowHeight="14.4" x14ac:dyDescent="0.3"/>
  <cols>
    <col min="1" max="1" width="5.77734375" customWidth="1"/>
    <col min="2" max="2" width="13.6640625" customWidth="1"/>
    <col min="5" max="5" width="14.77734375" customWidth="1"/>
    <col min="6" max="6" width="16.109375" customWidth="1"/>
    <col min="7" max="7" width="19.21875" customWidth="1"/>
    <col min="9" max="9" width="18" customWidth="1"/>
    <col min="11" max="11" width="18.44140625" customWidth="1"/>
    <col min="13" max="13" width="18" customWidth="1"/>
    <col min="15" max="15" width="22.21875" customWidth="1"/>
    <col min="16" max="16" width="9.5546875" customWidth="1"/>
    <col min="17" max="17" width="3.6640625" customWidth="1"/>
    <col min="18" max="19" width="5.77734375" customWidth="1"/>
  </cols>
  <sheetData>
    <row r="2" spans="2:21" ht="14.4" customHeight="1" x14ac:dyDescent="0.3">
      <c r="B2" s="187" t="s">
        <v>42</v>
      </c>
      <c r="C2" s="187"/>
      <c r="D2" s="18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</row>
    <row r="3" spans="2:21" ht="14.4" customHeight="1" x14ac:dyDescent="0.3">
      <c r="B3" s="187"/>
      <c r="C3" s="187"/>
      <c r="D3" s="187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</row>
    <row r="4" spans="2:21" ht="14.4" customHeight="1" x14ac:dyDescent="0.3">
      <c r="B4" s="187"/>
      <c r="C4" s="187"/>
      <c r="D4" s="187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</row>
    <row r="6" spans="2:21" ht="27" customHeight="1" x14ac:dyDescent="0.3">
      <c r="B6" s="189" t="s">
        <v>26</v>
      </c>
      <c r="C6" s="195" t="s">
        <v>0</v>
      </c>
      <c r="D6" s="196"/>
      <c r="E6" s="197"/>
      <c r="F6" s="201" t="s">
        <v>1</v>
      </c>
      <c r="G6" s="202"/>
      <c r="H6" s="202"/>
      <c r="I6" s="202"/>
      <c r="J6" s="202"/>
      <c r="K6" s="202"/>
      <c r="L6" s="202"/>
      <c r="M6" s="202"/>
      <c r="N6" s="202"/>
      <c r="O6" s="203"/>
      <c r="P6" s="204" t="s">
        <v>2</v>
      </c>
      <c r="Q6" s="205"/>
      <c r="R6" s="204" t="s">
        <v>3</v>
      </c>
      <c r="S6" s="205"/>
      <c r="T6" s="204" t="s">
        <v>4</v>
      </c>
      <c r="U6" s="205"/>
    </row>
    <row r="7" spans="2:21" ht="34.950000000000003" customHeight="1" x14ac:dyDescent="0.3">
      <c r="B7" s="190"/>
      <c r="C7" s="198"/>
      <c r="D7" s="199"/>
      <c r="E7" s="200"/>
      <c r="F7" s="201" t="s">
        <v>5</v>
      </c>
      <c r="G7" s="203"/>
      <c r="H7" s="201" t="s">
        <v>6</v>
      </c>
      <c r="I7" s="203"/>
      <c r="J7" s="201" t="s">
        <v>7</v>
      </c>
      <c r="K7" s="203"/>
      <c r="L7" s="201" t="s">
        <v>8</v>
      </c>
      <c r="M7" s="203"/>
      <c r="N7" s="201" t="s">
        <v>9</v>
      </c>
      <c r="O7" s="203"/>
      <c r="P7" s="206"/>
      <c r="Q7" s="207"/>
      <c r="R7" s="206"/>
      <c r="S7" s="207"/>
      <c r="T7" s="206"/>
      <c r="U7" s="207"/>
    </row>
    <row r="8" spans="2:21" ht="14.4" customHeight="1" x14ac:dyDescent="0.3">
      <c r="B8" s="78" t="s">
        <v>43</v>
      </c>
      <c r="C8" s="64" t="s">
        <v>44</v>
      </c>
      <c r="D8" s="64"/>
      <c r="E8" s="64"/>
      <c r="F8" s="182" t="s">
        <v>45</v>
      </c>
      <c r="G8" s="182"/>
      <c r="H8" s="182" t="s">
        <v>46</v>
      </c>
      <c r="I8" s="182"/>
      <c r="J8" s="182" t="s">
        <v>47</v>
      </c>
      <c r="K8" s="182"/>
      <c r="L8" s="182" t="s">
        <v>48</v>
      </c>
      <c r="M8" s="182"/>
      <c r="N8" s="182" t="s">
        <v>49</v>
      </c>
      <c r="O8" s="182"/>
      <c r="P8" s="59">
        <v>0.5</v>
      </c>
      <c r="Q8" s="59"/>
      <c r="R8" s="184"/>
      <c r="S8" s="184"/>
      <c r="T8" s="59">
        <f>P8*R8</f>
        <v>0</v>
      </c>
      <c r="U8" s="59"/>
    </row>
    <row r="9" spans="2:21" ht="37.200000000000003" customHeight="1" x14ac:dyDescent="0.3">
      <c r="B9" s="65"/>
      <c r="C9" s="78"/>
      <c r="D9" s="78"/>
      <c r="E9" s="78"/>
      <c r="F9" s="53"/>
      <c r="G9" s="53"/>
      <c r="H9" s="53"/>
      <c r="I9" s="53"/>
      <c r="J9" s="53"/>
      <c r="K9" s="53"/>
      <c r="L9" s="53"/>
      <c r="M9" s="53"/>
      <c r="N9" s="53"/>
      <c r="O9" s="53"/>
      <c r="P9" s="38"/>
      <c r="Q9" s="38"/>
      <c r="R9" s="188"/>
      <c r="S9" s="188"/>
      <c r="T9" s="38"/>
      <c r="U9" s="38"/>
    </row>
    <row r="10" spans="2:21" ht="14.4" customHeight="1" x14ac:dyDescent="0.3">
      <c r="B10" s="78" t="s">
        <v>43</v>
      </c>
      <c r="C10" s="78" t="s">
        <v>50</v>
      </c>
      <c r="D10" s="78"/>
      <c r="E10" s="78"/>
      <c r="F10" s="53" t="s">
        <v>51</v>
      </c>
      <c r="G10" s="53"/>
      <c r="H10" s="53" t="s">
        <v>52</v>
      </c>
      <c r="I10" s="53"/>
      <c r="J10" s="53" t="s">
        <v>53</v>
      </c>
      <c r="K10" s="53"/>
      <c r="L10" s="53" t="s">
        <v>54</v>
      </c>
      <c r="M10" s="53"/>
      <c r="N10" s="53" t="s">
        <v>55</v>
      </c>
      <c r="O10" s="53"/>
      <c r="P10" s="38">
        <v>0.5</v>
      </c>
      <c r="Q10" s="38"/>
      <c r="R10" s="188"/>
      <c r="S10" s="188"/>
      <c r="T10" s="38">
        <f>P10*R10</f>
        <v>0</v>
      </c>
      <c r="U10" s="38"/>
    </row>
    <row r="11" spans="2:21" ht="37.200000000000003" customHeight="1" x14ac:dyDescent="0.3">
      <c r="B11" s="65"/>
      <c r="C11" s="78"/>
      <c r="D11" s="78"/>
      <c r="E11" s="78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38"/>
      <c r="Q11" s="38"/>
      <c r="R11" s="188"/>
      <c r="S11" s="188"/>
      <c r="T11" s="38"/>
      <c r="U11" s="38"/>
    </row>
    <row r="12" spans="2:21" ht="14.4" customHeight="1" x14ac:dyDescent="0.3">
      <c r="B12" s="135" t="s">
        <v>56</v>
      </c>
      <c r="C12" s="135" t="s">
        <v>57</v>
      </c>
      <c r="D12" s="135"/>
      <c r="E12" s="135"/>
      <c r="F12" s="191" t="s">
        <v>58</v>
      </c>
      <c r="G12" s="191"/>
      <c r="H12" s="191" t="s">
        <v>59</v>
      </c>
      <c r="I12" s="191"/>
      <c r="J12" s="191" t="s">
        <v>60</v>
      </c>
      <c r="K12" s="191"/>
      <c r="L12" s="191" t="s">
        <v>61</v>
      </c>
      <c r="M12" s="191"/>
      <c r="N12" s="191" t="s">
        <v>62</v>
      </c>
      <c r="O12" s="191"/>
      <c r="P12" s="152">
        <v>0.5</v>
      </c>
      <c r="Q12" s="152"/>
      <c r="R12" s="188"/>
      <c r="S12" s="188"/>
      <c r="T12" s="152">
        <f>P12*R12</f>
        <v>0</v>
      </c>
      <c r="U12" s="152"/>
    </row>
    <row r="13" spans="2:21" ht="37.200000000000003" customHeight="1" x14ac:dyDescent="0.3">
      <c r="B13" s="136"/>
      <c r="C13" s="135"/>
      <c r="D13" s="135"/>
      <c r="E13" s="135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52"/>
      <c r="Q13" s="152"/>
      <c r="R13" s="188"/>
      <c r="S13" s="188"/>
      <c r="T13" s="152"/>
      <c r="U13" s="152"/>
    </row>
    <row r="14" spans="2:21" ht="14.4" customHeight="1" x14ac:dyDescent="0.3">
      <c r="B14" s="135" t="s">
        <v>56</v>
      </c>
      <c r="C14" s="135" t="s">
        <v>63</v>
      </c>
      <c r="D14" s="135"/>
      <c r="E14" s="135"/>
      <c r="F14" s="191" t="s">
        <v>64</v>
      </c>
      <c r="G14" s="191"/>
      <c r="H14" s="191" t="s">
        <v>65</v>
      </c>
      <c r="I14" s="191"/>
      <c r="J14" s="191" t="s">
        <v>66</v>
      </c>
      <c r="K14" s="191"/>
      <c r="L14" s="191" t="s">
        <v>67</v>
      </c>
      <c r="M14" s="191"/>
      <c r="N14" s="191" t="s">
        <v>68</v>
      </c>
      <c r="O14" s="191"/>
      <c r="P14" s="152">
        <v>0.5</v>
      </c>
      <c r="Q14" s="152"/>
      <c r="R14" s="188"/>
      <c r="S14" s="188"/>
      <c r="T14" s="152">
        <f>P14*R14</f>
        <v>0</v>
      </c>
      <c r="U14" s="152"/>
    </row>
    <row r="15" spans="2:21" ht="37.200000000000003" customHeight="1" x14ac:dyDescent="0.3">
      <c r="B15" s="136"/>
      <c r="C15" s="135"/>
      <c r="D15" s="135"/>
      <c r="E15" s="135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52"/>
      <c r="Q15" s="152"/>
      <c r="R15" s="188"/>
      <c r="S15" s="188"/>
      <c r="T15" s="152"/>
      <c r="U15" s="152"/>
    </row>
    <row r="16" spans="2:21" ht="14.4" customHeight="1" x14ac:dyDescent="0.3">
      <c r="B16" s="192" t="s">
        <v>69</v>
      </c>
      <c r="C16" s="192" t="s">
        <v>70</v>
      </c>
      <c r="D16" s="192"/>
      <c r="E16" s="192"/>
      <c r="F16" s="18" t="s">
        <v>71</v>
      </c>
      <c r="G16" s="19"/>
      <c r="H16" s="18" t="s">
        <v>72</v>
      </c>
      <c r="I16" s="19"/>
      <c r="J16" s="18" t="s">
        <v>73</v>
      </c>
      <c r="K16" s="19"/>
      <c r="L16" s="18" t="s">
        <v>74</v>
      </c>
      <c r="M16" s="19"/>
      <c r="N16" s="18" t="s">
        <v>75</v>
      </c>
      <c r="O16" s="19"/>
      <c r="P16" s="27">
        <v>0.6</v>
      </c>
      <c r="Q16" s="27"/>
      <c r="R16" s="188"/>
      <c r="S16" s="188"/>
      <c r="T16" s="27">
        <f>P16*R16</f>
        <v>0</v>
      </c>
      <c r="U16" s="27"/>
    </row>
    <row r="17" spans="2:21" ht="37.200000000000003" customHeight="1" x14ac:dyDescent="0.3">
      <c r="B17" s="193"/>
      <c r="C17" s="192"/>
      <c r="D17" s="192"/>
      <c r="E17" s="192"/>
      <c r="F17" s="20"/>
      <c r="G17" s="21"/>
      <c r="H17" s="20"/>
      <c r="I17" s="21"/>
      <c r="J17" s="20"/>
      <c r="K17" s="21"/>
      <c r="L17" s="20"/>
      <c r="M17" s="21"/>
      <c r="N17" s="20"/>
      <c r="O17" s="21"/>
      <c r="P17" s="27"/>
      <c r="Q17" s="27"/>
      <c r="R17" s="188"/>
      <c r="S17" s="188"/>
      <c r="T17" s="27"/>
      <c r="U17" s="27"/>
    </row>
    <row r="18" spans="2:21" ht="14.4" customHeight="1" x14ac:dyDescent="0.3">
      <c r="B18" s="192" t="s">
        <v>69</v>
      </c>
      <c r="C18" s="192" t="s">
        <v>76</v>
      </c>
      <c r="D18" s="192"/>
      <c r="E18" s="192"/>
      <c r="F18" s="194" t="s">
        <v>77</v>
      </c>
      <c r="G18" s="194"/>
      <c r="H18" s="194" t="s">
        <v>78</v>
      </c>
      <c r="I18" s="194"/>
      <c r="J18" s="194" t="s">
        <v>79</v>
      </c>
      <c r="K18" s="194"/>
      <c r="L18" s="194" t="s">
        <v>80</v>
      </c>
      <c r="M18" s="194"/>
      <c r="N18" s="194" t="s">
        <v>81</v>
      </c>
      <c r="O18" s="194"/>
      <c r="P18" s="27">
        <v>0.2</v>
      </c>
      <c r="Q18" s="27"/>
      <c r="R18" s="188"/>
      <c r="S18" s="188"/>
      <c r="T18" s="27">
        <f>P18*R18</f>
        <v>0</v>
      </c>
      <c r="U18" s="27"/>
    </row>
    <row r="19" spans="2:21" ht="37.200000000000003" customHeight="1" x14ac:dyDescent="0.3">
      <c r="B19" s="193"/>
      <c r="C19" s="192"/>
      <c r="D19" s="192"/>
      <c r="E19" s="192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27"/>
      <c r="Q19" s="27"/>
      <c r="R19" s="188"/>
      <c r="S19" s="188"/>
      <c r="T19" s="27"/>
      <c r="U19" s="27"/>
    </row>
    <row r="20" spans="2:21" ht="14.4" customHeight="1" x14ac:dyDescent="0.3">
      <c r="B20" s="78" t="s">
        <v>43</v>
      </c>
      <c r="C20" s="78" t="s">
        <v>82</v>
      </c>
      <c r="D20" s="78"/>
      <c r="E20" s="78"/>
      <c r="F20" s="182" t="s">
        <v>83</v>
      </c>
      <c r="G20" s="182"/>
      <c r="H20" s="182" t="s">
        <v>84</v>
      </c>
      <c r="I20" s="182"/>
      <c r="J20" s="182" t="s">
        <v>85</v>
      </c>
      <c r="K20" s="182"/>
      <c r="L20" s="182" t="s">
        <v>86</v>
      </c>
      <c r="M20" s="182"/>
      <c r="N20" s="182" t="s">
        <v>87</v>
      </c>
      <c r="O20" s="182"/>
      <c r="P20" s="59">
        <v>0.2</v>
      </c>
      <c r="Q20" s="59"/>
      <c r="R20" s="184"/>
      <c r="S20" s="184"/>
      <c r="T20" s="59">
        <f>P20*R20</f>
        <v>0</v>
      </c>
      <c r="U20" s="59"/>
    </row>
    <row r="21" spans="2:21" ht="37.200000000000003" customHeight="1" thickBot="1" x14ac:dyDescent="0.35">
      <c r="B21" s="79"/>
      <c r="C21" s="186"/>
      <c r="D21" s="186"/>
      <c r="E21" s="186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39"/>
      <c r="Q21" s="39"/>
      <c r="R21" s="185"/>
      <c r="S21" s="185"/>
      <c r="T21" s="39"/>
      <c r="U21" s="39"/>
    </row>
    <row r="22" spans="2:21" ht="26.4" thickBot="1" x14ac:dyDescent="0.55000000000000004">
      <c r="B22" s="180" t="s">
        <v>10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  <c r="T22" s="181">
        <f>SUM(T8:U21)</f>
        <v>0</v>
      </c>
      <c r="U22" s="181"/>
    </row>
    <row r="23" spans="2:21" ht="15" thickTop="1" x14ac:dyDescent="0.3"/>
  </sheetData>
  <mergeCells count="84">
    <mergeCell ref="R6:S7"/>
    <mergeCell ref="T6:U7"/>
    <mergeCell ref="F7:G7"/>
    <mergeCell ref="H7:I7"/>
    <mergeCell ref="J7:K7"/>
    <mergeCell ref="L7:M7"/>
    <mergeCell ref="N7:O7"/>
    <mergeCell ref="J12:K13"/>
    <mergeCell ref="L12:M13"/>
    <mergeCell ref="C6:E7"/>
    <mergeCell ref="F6:O6"/>
    <mergeCell ref="P6:Q7"/>
    <mergeCell ref="N8:O9"/>
    <mergeCell ref="P8:Q9"/>
    <mergeCell ref="C12:E13"/>
    <mergeCell ref="F12:G13"/>
    <mergeCell ref="H12:I13"/>
    <mergeCell ref="R8:S9"/>
    <mergeCell ref="T8:U9"/>
    <mergeCell ref="C10:E11"/>
    <mergeCell ref="F10:G11"/>
    <mergeCell ref="H10:I11"/>
    <mergeCell ref="C8:E9"/>
    <mergeCell ref="F8:G9"/>
    <mergeCell ref="H8:I9"/>
    <mergeCell ref="J8:K9"/>
    <mergeCell ref="L8:M9"/>
    <mergeCell ref="T10:U11"/>
    <mergeCell ref="C14:E15"/>
    <mergeCell ref="F14:G15"/>
    <mergeCell ref="H14:I15"/>
    <mergeCell ref="J14:K15"/>
    <mergeCell ref="L14:M15"/>
    <mergeCell ref="N14:O15"/>
    <mergeCell ref="P14:Q15"/>
    <mergeCell ref="R14:S15"/>
    <mergeCell ref="T14:U15"/>
    <mergeCell ref="P12:Q13"/>
    <mergeCell ref="R12:S13"/>
    <mergeCell ref="T12:U13"/>
    <mergeCell ref="T16:U17"/>
    <mergeCell ref="B18:B19"/>
    <mergeCell ref="C18:E19"/>
    <mergeCell ref="F18:G19"/>
    <mergeCell ref="H18:I19"/>
    <mergeCell ref="J18:K19"/>
    <mergeCell ref="L18:M19"/>
    <mergeCell ref="N18:O19"/>
    <mergeCell ref="P18:Q19"/>
    <mergeCell ref="R18:S19"/>
    <mergeCell ref="T18:U19"/>
    <mergeCell ref="B16:B17"/>
    <mergeCell ref="C16:E17"/>
    <mergeCell ref="F16:G17"/>
    <mergeCell ref="H16:I17"/>
    <mergeCell ref="J16:K17"/>
    <mergeCell ref="B2:D4"/>
    <mergeCell ref="N16:O17"/>
    <mergeCell ref="P16:Q17"/>
    <mergeCell ref="R16:S17"/>
    <mergeCell ref="B6:B7"/>
    <mergeCell ref="B14:B15"/>
    <mergeCell ref="B12:B13"/>
    <mergeCell ref="B10:B11"/>
    <mergeCell ref="B8:B9"/>
    <mergeCell ref="J10:K11"/>
    <mergeCell ref="L10:M11"/>
    <mergeCell ref="N10:O11"/>
    <mergeCell ref="P10:Q11"/>
    <mergeCell ref="R10:S11"/>
    <mergeCell ref="N12:O13"/>
    <mergeCell ref="L16:M17"/>
    <mergeCell ref="B22:S22"/>
    <mergeCell ref="T22:U22"/>
    <mergeCell ref="L20:M21"/>
    <mergeCell ref="N20:O21"/>
    <mergeCell ref="P20:Q21"/>
    <mergeCell ref="R20:S21"/>
    <mergeCell ref="T20:U21"/>
    <mergeCell ref="B20:B21"/>
    <mergeCell ref="C20:E21"/>
    <mergeCell ref="F20:G21"/>
    <mergeCell ref="H20:I21"/>
    <mergeCell ref="J20:K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AC2E-5785-4919-9A17-E8C29CE063E8}">
  <sheetPr>
    <tabColor theme="8" tint="0.39997558519241921"/>
  </sheetPr>
  <dimension ref="B2:U23"/>
  <sheetViews>
    <sheetView zoomScale="70" zoomScaleNormal="70" workbookViewId="0">
      <selection activeCell="I28" sqref="I28"/>
    </sheetView>
  </sheetViews>
  <sheetFormatPr defaultColWidth="12.33203125" defaultRowHeight="14.4" x14ac:dyDescent="0.3"/>
  <cols>
    <col min="1" max="1" width="5.77734375" customWidth="1"/>
    <col min="2" max="2" width="13.6640625" customWidth="1"/>
    <col min="5" max="5" width="14.77734375" customWidth="1"/>
    <col min="6" max="6" width="16.109375" customWidth="1"/>
    <col min="7" max="7" width="19.21875" customWidth="1"/>
    <col min="9" max="9" width="18" customWidth="1"/>
    <col min="11" max="11" width="18.44140625" customWidth="1"/>
    <col min="13" max="13" width="19.5546875" customWidth="1"/>
    <col min="15" max="15" width="22.21875" customWidth="1"/>
    <col min="16" max="16" width="9.5546875" customWidth="1"/>
    <col min="17" max="17" width="3.6640625" customWidth="1"/>
    <col min="18" max="19" width="5.77734375" customWidth="1"/>
  </cols>
  <sheetData>
    <row r="2" spans="2:21" ht="14.4" customHeight="1" x14ac:dyDescent="0.3">
      <c r="B2" s="219" t="s">
        <v>88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4"/>
    </row>
    <row r="3" spans="2:21" ht="14.4" customHeight="1" x14ac:dyDescent="0.3">
      <c r="B3" s="221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225"/>
    </row>
    <row r="4" spans="2:21" ht="14.4" customHeight="1" x14ac:dyDescent="0.3"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6"/>
    </row>
    <row r="6" spans="2:21" ht="27" customHeight="1" x14ac:dyDescent="0.3">
      <c r="B6" s="189" t="s">
        <v>26</v>
      </c>
      <c r="C6" s="227" t="s">
        <v>0</v>
      </c>
      <c r="D6" s="227"/>
      <c r="E6" s="227"/>
      <c r="F6" s="227" t="s">
        <v>1</v>
      </c>
      <c r="G6" s="227"/>
      <c r="H6" s="227"/>
      <c r="I6" s="227"/>
      <c r="J6" s="227"/>
      <c r="K6" s="227"/>
      <c r="L6" s="227"/>
      <c r="M6" s="227"/>
      <c r="N6" s="227"/>
      <c r="O6" s="227"/>
      <c r="P6" s="227" t="s">
        <v>2</v>
      </c>
      <c r="Q6" s="227"/>
      <c r="R6" s="227" t="s">
        <v>3</v>
      </c>
      <c r="S6" s="227"/>
      <c r="T6" s="227" t="s">
        <v>4</v>
      </c>
      <c r="U6" s="227"/>
    </row>
    <row r="7" spans="2:21" ht="34.950000000000003" customHeight="1" x14ac:dyDescent="0.3">
      <c r="B7" s="190"/>
      <c r="C7" s="227"/>
      <c r="D7" s="227"/>
      <c r="E7" s="227"/>
      <c r="F7" s="201" t="s">
        <v>5</v>
      </c>
      <c r="G7" s="203"/>
      <c r="H7" s="201" t="s">
        <v>6</v>
      </c>
      <c r="I7" s="203"/>
      <c r="J7" s="201" t="s">
        <v>7</v>
      </c>
      <c r="K7" s="203"/>
      <c r="L7" s="201" t="s">
        <v>8</v>
      </c>
      <c r="M7" s="203"/>
      <c r="N7" s="201" t="s">
        <v>9</v>
      </c>
      <c r="O7" s="203"/>
      <c r="P7" s="227"/>
      <c r="Q7" s="227"/>
      <c r="R7" s="227"/>
      <c r="S7" s="227"/>
      <c r="T7" s="227"/>
      <c r="U7" s="227"/>
    </row>
    <row r="8" spans="2:21" ht="14.4" customHeight="1" x14ac:dyDescent="0.3">
      <c r="B8" s="192" t="s">
        <v>27</v>
      </c>
      <c r="C8" s="192" t="s">
        <v>44</v>
      </c>
      <c r="D8" s="192"/>
      <c r="E8" s="192"/>
      <c r="F8" s="194" t="s">
        <v>45</v>
      </c>
      <c r="G8" s="194"/>
      <c r="H8" s="194" t="s">
        <v>46</v>
      </c>
      <c r="I8" s="194"/>
      <c r="J8" s="194" t="s">
        <v>47</v>
      </c>
      <c r="K8" s="194"/>
      <c r="L8" s="194" t="s">
        <v>48</v>
      </c>
      <c r="M8" s="194"/>
      <c r="N8" s="194" t="s">
        <v>49</v>
      </c>
      <c r="O8" s="194"/>
      <c r="P8" s="27">
        <v>0.5</v>
      </c>
      <c r="Q8" s="27"/>
      <c r="R8" s="188"/>
      <c r="S8" s="188"/>
      <c r="T8" s="27">
        <f>P8*R8</f>
        <v>0</v>
      </c>
      <c r="U8" s="27"/>
    </row>
    <row r="9" spans="2:21" ht="37.200000000000003" customHeight="1" x14ac:dyDescent="0.3">
      <c r="B9" s="193"/>
      <c r="C9" s="192"/>
      <c r="D9" s="192"/>
      <c r="E9" s="192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27"/>
      <c r="Q9" s="27"/>
      <c r="R9" s="188"/>
      <c r="S9" s="188"/>
      <c r="T9" s="27"/>
      <c r="U9" s="27"/>
    </row>
    <row r="10" spans="2:21" ht="14.4" customHeight="1" x14ac:dyDescent="0.3">
      <c r="B10" s="217" t="s">
        <v>27</v>
      </c>
      <c r="C10" s="217" t="s">
        <v>137</v>
      </c>
      <c r="D10" s="217"/>
      <c r="E10" s="217"/>
      <c r="F10" s="208" t="s">
        <v>89</v>
      </c>
      <c r="G10" s="208"/>
      <c r="H10" s="208" t="s">
        <v>90</v>
      </c>
      <c r="I10" s="208"/>
      <c r="J10" s="208" t="s">
        <v>91</v>
      </c>
      <c r="K10" s="208"/>
      <c r="L10" s="208" t="s">
        <v>92</v>
      </c>
      <c r="M10" s="208"/>
      <c r="N10" s="208" t="s">
        <v>93</v>
      </c>
      <c r="O10" s="208"/>
      <c r="P10" s="27">
        <v>0.3</v>
      </c>
      <c r="Q10" s="27"/>
      <c r="R10" s="188"/>
      <c r="S10" s="188"/>
      <c r="T10" s="27">
        <f>P10*R10</f>
        <v>0</v>
      </c>
      <c r="U10" s="27"/>
    </row>
    <row r="11" spans="2:21" ht="37.200000000000003" customHeight="1" x14ac:dyDescent="0.3">
      <c r="B11" s="218"/>
      <c r="C11" s="217"/>
      <c r="D11" s="217"/>
      <c r="E11" s="217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7"/>
      <c r="Q11" s="27"/>
      <c r="R11" s="188"/>
      <c r="S11" s="188"/>
      <c r="T11" s="27"/>
      <c r="U11" s="27"/>
    </row>
    <row r="12" spans="2:21" ht="14.4" customHeight="1" x14ac:dyDescent="0.3">
      <c r="B12" s="192" t="s">
        <v>28</v>
      </c>
      <c r="C12" s="192" t="s">
        <v>142</v>
      </c>
      <c r="D12" s="192"/>
      <c r="E12" s="192"/>
      <c r="F12" s="194" t="s">
        <v>141</v>
      </c>
      <c r="G12" s="194"/>
      <c r="H12" s="194" t="s">
        <v>94</v>
      </c>
      <c r="I12" s="194"/>
      <c r="J12" s="194" t="s">
        <v>140</v>
      </c>
      <c r="K12" s="194"/>
      <c r="L12" s="194" t="s">
        <v>95</v>
      </c>
      <c r="M12" s="194"/>
      <c r="N12" s="194" t="s">
        <v>96</v>
      </c>
      <c r="O12" s="194"/>
      <c r="P12" s="27">
        <v>0.3</v>
      </c>
      <c r="Q12" s="27"/>
      <c r="R12" s="188"/>
      <c r="S12" s="188"/>
      <c r="T12" s="27">
        <f>P12*R12</f>
        <v>0</v>
      </c>
      <c r="U12" s="27"/>
    </row>
    <row r="13" spans="2:21" ht="51.6" customHeight="1" x14ac:dyDescent="0.3">
      <c r="B13" s="193"/>
      <c r="C13" s="192"/>
      <c r="D13" s="192"/>
      <c r="E13" s="192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27"/>
      <c r="Q13" s="27"/>
      <c r="R13" s="188"/>
      <c r="S13" s="188"/>
      <c r="T13" s="27"/>
      <c r="U13" s="27"/>
    </row>
    <row r="14" spans="2:21" ht="14.4" customHeight="1" x14ac:dyDescent="0.3">
      <c r="B14" s="78" t="s">
        <v>29</v>
      </c>
      <c r="C14" s="78" t="s">
        <v>25</v>
      </c>
      <c r="D14" s="78"/>
      <c r="E14" s="78"/>
      <c r="F14" s="60" t="s">
        <v>97</v>
      </c>
      <c r="G14" s="61"/>
      <c r="H14" s="53" t="s">
        <v>98</v>
      </c>
      <c r="I14" s="53"/>
      <c r="J14" s="53" t="s">
        <v>99</v>
      </c>
      <c r="K14" s="53"/>
      <c r="L14" s="53" t="s">
        <v>100</v>
      </c>
      <c r="M14" s="53"/>
      <c r="N14" s="53" t="s">
        <v>101</v>
      </c>
      <c r="O14" s="53"/>
      <c r="P14" s="38">
        <v>0.5</v>
      </c>
      <c r="Q14" s="38"/>
      <c r="R14" s="188"/>
      <c r="S14" s="188"/>
      <c r="T14" s="38">
        <f>P14*R14</f>
        <v>0</v>
      </c>
      <c r="U14" s="38"/>
    </row>
    <row r="15" spans="2:21" ht="63.6" customHeight="1" x14ac:dyDescent="0.3">
      <c r="B15" s="65"/>
      <c r="C15" s="78"/>
      <c r="D15" s="78"/>
      <c r="E15" s="78"/>
      <c r="F15" s="76"/>
      <c r="G15" s="77"/>
      <c r="H15" s="53"/>
      <c r="I15" s="53"/>
      <c r="J15" s="53"/>
      <c r="K15" s="53"/>
      <c r="L15" s="53"/>
      <c r="M15" s="53"/>
      <c r="N15" s="53"/>
      <c r="O15" s="53"/>
      <c r="P15" s="38"/>
      <c r="Q15" s="38"/>
      <c r="R15" s="188"/>
      <c r="S15" s="188"/>
      <c r="T15" s="38"/>
      <c r="U15" s="38"/>
    </row>
    <row r="16" spans="2:21" ht="14.4" customHeight="1" x14ac:dyDescent="0.3">
      <c r="B16" s="192" t="s">
        <v>69</v>
      </c>
      <c r="C16" s="192" t="s">
        <v>70</v>
      </c>
      <c r="D16" s="192"/>
      <c r="E16" s="192"/>
      <c r="F16" s="18" t="s">
        <v>71</v>
      </c>
      <c r="G16" s="19"/>
      <c r="H16" s="18" t="s">
        <v>72</v>
      </c>
      <c r="I16" s="19"/>
      <c r="J16" s="18" t="s">
        <v>73</v>
      </c>
      <c r="K16" s="19"/>
      <c r="L16" s="18" t="s">
        <v>74</v>
      </c>
      <c r="M16" s="19"/>
      <c r="N16" s="18" t="s">
        <v>75</v>
      </c>
      <c r="O16" s="19"/>
      <c r="P16" s="27">
        <v>1</v>
      </c>
      <c r="Q16" s="27"/>
      <c r="R16" s="188"/>
      <c r="S16" s="188"/>
      <c r="T16" s="38">
        <f>P16*R16</f>
        <v>0</v>
      </c>
      <c r="U16" s="38"/>
    </row>
    <row r="17" spans="2:21" ht="37.200000000000003" customHeight="1" x14ac:dyDescent="0.3">
      <c r="B17" s="193"/>
      <c r="C17" s="192"/>
      <c r="D17" s="192"/>
      <c r="E17" s="192"/>
      <c r="F17" s="20"/>
      <c r="G17" s="21"/>
      <c r="H17" s="20"/>
      <c r="I17" s="21"/>
      <c r="J17" s="20"/>
      <c r="K17" s="21"/>
      <c r="L17" s="20"/>
      <c r="M17" s="21"/>
      <c r="N17" s="20"/>
      <c r="O17" s="21"/>
      <c r="P17" s="27"/>
      <c r="Q17" s="27"/>
      <c r="R17" s="188"/>
      <c r="S17" s="188"/>
      <c r="T17" s="38"/>
      <c r="U17" s="38"/>
    </row>
    <row r="18" spans="2:21" ht="14.4" customHeight="1" x14ac:dyDescent="0.3">
      <c r="B18" s="135" t="s">
        <v>56</v>
      </c>
      <c r="C18" s="135" t="s">
        <v>138</v>
      </c>
      <c r="D18" s="135"/>
      <c r="E18" s="135"/>
      <c r="F18" s="191" t="s">
        <v>77</v>
      </c>
      <c r="G18" s="191"/>
      <c r="H18" s="191" t="s">
        <v>78</v>
      </c>
      <c r="I18" s="191"/>
      <c r="J18" s="191" t="s">
        <v>79</v>
      </c>
      <c r="K18" s="191"/>
      <c r="L18" s="191" t="s">
        <v>80</v>
      </c>
      <c r="M18" s="191"/>
      <c r="N18" s="191" t="s">
        <v>81</v>
      </c>
      <c r="O18" s="191"/>
      <c r="P18" s="152">
        <v>1</v>
      </c>
      <c r="Q18" s="152"/>
      <c r="R18" s="209"/>
      <c r="S18" s="210"/>
      <c r="T18" s="213">
        <f>P18*R18</f>
        <v>0</v>
      </c>
      <c r="U18" s="214"/>
    </row>
    <row r="19" spans="2:21" ht="37.200000000000003" customHeight="1" x14ac:dyDescent="0.3">
      <c r="B19" s="136"/>
      <c r="C19" s="135"/>
      <c r="D19" s="135"/>
      <c r="E19" s="135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52"/>
      <c r="Q19" s="152"/>
      <c r="R19" s="211"/>
      <c r="S19" s="212"/>
      <c r="T19" s="215"/>
      <c r="U19" s="216"/>
    </row>
    <row r="20" spans="2:21" ht="14.4" customHeight="1" x14ac:dyDescent="0.3">
      <c r="B20" s="78" t="s">
        <v>29</v>
      </c>
      <c r="C20" s="78" t="s">
        <v>102</v>
      </c>
      <c r="D20" s="78"/>
      <c r="E20" s="78"/>
      <c r="F20" s="53" t="s">
        <v>103</v>
      </c>
      <c r="G20" s="53"/>
      <c r="H20" s="53" t="s">
        <v>104</v>
      </c>
      <c r="I20" s="53"/>
      <c r="J20" s="53" t="s">
        <v>105</v>
      </c>
      <c r="K20" s="53"/>
      <c r="L20" s="53" t="s">
        <v>106</v>
      </c>
      <c r="M20" s="53"/>
      <c r="N20" s="53" t="s">
        <v>107</v>
      </c>
      <c r="O20" s="53"/>
      <c r="P20" s="38">
        <v>0.4</v>
      </c>
      <c r="Q20" s="38"/>
      <c r="R20" s="184"/>
      <c r="S20" s="184"/>
      <c r="T20" s="59">
        <f>P20*R20</f>
        <v>0</v>
      </c>
      <c r="U20" s="59"/>
    </row>
    <row r="21" spans="2:21" ht="37.200000000000003" customHeight="1" thickBot="1" x14ac:dyDescent="0.35">
      <c r="B21" s="65"/>
      <c r="C21" s="78"/>
      <c r="D21" s="78"/>
      <c r="E21" s="78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38"/>
      <c r="Q21" s="38"/>
      <c r="R21" s="185"/>
      <c r="S21" s="185"/>
      <c r="T21" s="39"/>
      <c r="U21" s="39"/>
    </row>
    <row r="22" spans="2:21" ht="26.4" thickBot="1" x14ac:dyDescent="0.55000000000000004">
      <c r="B22" s="71" t="s">
        <v>139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  <c r="T22" s="181">
        <f>SUM(T8:U21)</f>
        <v>0</v>
      </c>
      <c r="U22" s="181"/>
    </row>
    <row r="23" spans="2:21" ht="15" thickTop="1" x14ac:dyDescent="0.3"/>
  </sheetData>
  <mergeCells count="85">
    <mergeCell ref="C16:E17"/>
    <mergeCell ref="B2:D4"/>
    <mergeCell ref="E2:U4"/>
    <mergeCell ref="B14:B15"/>
    <mergeCell ref="B16:B17"/>
    <mergeCell ref="R6:S7"/>
    <mergeCell ref="T6:U7"/>
    <mergeCell ref="F7:G7"/>
    <mergeCell ref="H7:I7"/>
    <mergeCell ref="J7:K7"/>
    <mergeCell ref="L7:M7"/>
    <mergeCell ref="N7:O7"/>
    <mergeCell ref="C6:E7"/>
    <mergeCell ref="F6:O6"/>
    <mergeCell ref="P6:Q7"/>
    <mergeCell ref="C8:E9"/>
    <mergeCell ref="B6:B7"/>
    <mergeCell ref="B10:B11"/>
    <mergeCell ref="B8:B9"/>
    <mergeCell ref="B18:B19"/>
    <mergeCell ref="B12:B13"/>
    <mergeCell ref="F8:G9"/>
    <mergeCell ref="H8:I9"/>
    <mergeCell ref="J8:K9"/>
    <mergeCell ref="L8:M9"/>
    <mergeCell ref="P8:Q9"/>
    <mergeCell ref="C18:E19"/>
    <mergeCell ref="F18:G19"/>
    <mergeCell ref="H18:I19"/>
    <mergeCell ref="J18:K19"/>
    <mergeCell ref="L18:M19"/>
    <mergeCell ref="C10:E11"/>
    <mergeCell ref="F10:G11"/>
    <mergeCell ref="H10:I11"/>
    <mergeCell ref="J10:K11"/>
    <mergeCell ref="L10:M11"/>
    <mergeCell ref="F12:G13"/>
    <mergeCell ref="H12:I13"/>
    <mergeCell ref="J12:K13"/>
    <mergeCell ref="L12:M13"/>
    <mergeCell ref="C14:E15"/>
    <mergeCell ref="F14:G15"/>
    <mergeCell ref="H14:I15"/>
    <mergeCell ref="J14:K15"/>
    <mergeCell ref="L14:M15"/>
    <mergeCell ref="C12:E13"/>
    <mergeCell ref="F16:G17"/>
    <mergeCell ref="H16:I17"/>
    <mergeCell ref="J16:K17"/>
    <mergeCell ref="L16:M17"/>
    <mergeCell ref="P20:Q21"/>
    <mergeCell ref="N18:O19"/>
    <mergeCell ref="P18:Q19"/>
    <mergeCell ref="T22:U22"/>
    <mergeCell ref="C20:E21"/>
    <mergeCell ref="F20:G21"/>
    <mergeCell ref="H20:I21"/>
    <mergeCell ref="J20:K21"/>
    <mergeCell ref="L20:M21"/>
    <mergeCell ref="N20:O21"/>
    <mergeCell ref="B22:S22"/>
    <mergeCell ref="B20:B21"/>
    <mergeCell ref="R18:S19"/>
    <mergeCell ref="N12:O13"/>
    <mergeCell ref="R20:S21"/>
    <mergeCell ref="T20:U21"/>
    <mergeCell ref="P12:Q13"/>
    <mergeCell ref="R12:S13"/>
    <mergeCell ref="T18:U19"/>
    <mergeCell ref="R8:S9"/>
    <mergeCell ref="T8:U9"/>
    <mergeCell ref="N16:O17"/>
    <mergeCell ref="P16:Q17"/>
    <mergeCell ref="R16:S17"/>
    <mergeCell ref="T16:U17"/>
    <mergeCell ref="N8:O9"/>
    <mergeCell ref="T12:U13"/>
    <mergeCell ref="N14:O15"/>
    <mergeCell ref="P14:Q15"/>
    <mergeCell ref="R14:S15"/>
    <mergeCell ref="T14:U15"/>
    <mergeCell ref="N10:O11"/>
    <mergeCell ref="P10:Q11"/>
    <mergeCell ref="R10:S11"/>
    <mergeCell ref="T10:U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A094-BBF7-4718-80FA-4D824599225E}">
  <sheetPr>
    <tabColor theme="9" tint="0.39997558519241921"/>
  </sheetPr>
  <dimension ref="B2:W17"/>
  <sheetViews>
    <sheetView zoomScale="70" zoomScaleNormal="70" workbookViewId="0">
      <selection activeCell="L30" sqref="L30"/>
    </sheetView>
  </sheetViews>
  <sheetFormatPr defaultColWidth="12.33203125" defaultRowHeight="14.4" x14ac:dyDescent="0.3"/>
  <cols>
    <col min="1" max="1" width="5.77734375" customWidth="1"/>
    <col min="2" max="2" width="13.6640625" customWidth="1"/>
    <col min="5" max="5" width="7.21875" customWidth="1"/>
    <col min="7" max="7" width="18.5546875" customWidth="1"/>
    <col min="9" max="9" width="20.88671875" customWidth="1"/>
    <col min="11" max="11" width="18.77734375" customWidth="1"/>
    <col min="13" max="13" width="18.109375" customWidth="1"/>
    <col min="15" max="15" width="17.44140625" customWidth="1"/>
    <col min="16" max="16" width="7.44140625" customWidth="1"/>
    <col min="17" max="17" width="6" customWidth="1"/>
    <col min="18" max="18" width="7.77734375" customWidth="1"/>
    <col min="19" max="19" width="7.5546875" customWidth="1"/>
    <col min="20" max="20" width="7.6640625" customWidth="1"/>
    <col min="21" max="22" width="8.77734375" customWidth="1"/>
    <col min="23" max="23" width="8.44140625" customWidth="1"/>
  </cols>
  <sheetData>
    <row r="2" spans="2:23" ht="14.4" customHeight="1" x14ac:dyDescent="0.3">
      <c r="B2" s="219" t="s">
        <v>146</v>
      </c>
      <c r="C2" s="220"/>
      <c r="D2" s="220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</row>
    <row r="3" spans="2:23" ht="14.4" customHeight="1" x14ac:dyDescent="0.3">
      <c r="B3" s="221"/>
      <c r="C3" s="187"/>
      <c r="D3" s="187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</row>
    <row r="4" spans="2:23" ht="14.4" customHeight="1" x14ac:dyDescent="0.3">
      <c r="B4" s="222"/>
      <c r="C4" s="223"/>
      <c r="D4" s="22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</row>
    <row r="6" spans="2:23" ht="27" customHeight="1" x14ac:dyDescent="0.3">
      <c r="B6" s="189" t="s">
        <v>30</v>
      </c>
      <c r="C6" s="236" t="s">
        <v>0</v>
      </c>
      <c r="D6" s="227"/>
      <c r="E6" s="227"/>
      <c r="F6" s="227" t="s">
        <v>1</v>
      </c>
      <c r="G6" s="227"/>
      <c r="H6" s="227"/>
      <c r="I6" s="227"/>
      <c r="J6" s="227"/>
      <c r="K6" s="227"/>
      <c r="L6" s="227"/>
      <c r="M6" s="227"/>
      <c r="N6" s="227"/>
      <c r="O6" s="227"/>
      <c r="P6" s="204" t="s">
        <v>2</v>
      </c>
      <c r="Q6" s="205"/>
      <c r="R6" s="201" t="s">
        <v>3</v>
      </c>
      <c r="S6" s="202"/>
      <c r="T6" s="203"/>
      <c r="U6" s="201" t="s">
        <v>4</v>
      </c>
      <c r="V6" s="202"/>
      <c r="W6" s="203"/>
    </row>
    <row r="7" spans="2:23" ht="34.950000000000003" customHeight="1" x14ac:dyDescent="0.3">
      <c r="B7" s="190"/>
      <c r="C7" s="227"/>
      <c r="D7" s="227"/>
      <c r="E7" s="227"/>
      <c r="F7" s="201" t="s">
        <v>5</v>
      </c>
      <c r="G7" s="203"/>
      <c r="H7" s="201" t="s">
        <v>6</v>
      </c>
      <c r="I7" s="203"/>
      <c r="J7" s="201" t="s">
        <v>7</v>
      </c>
      <c r="K7" s="203"/>
      <c r="L7" s="201" t="s">
        <v>8</v>
      </c>
      <c r="M7" s="203"/>
      <c r="N7" s="201" t="s">
        <v>9</v>
      </c>
      <c r="O7" s="203"/>
      <c r="P7" s="206"/>
      <c r="Q7" s="207"/>
      <c r="R7" s="16" t="s">
        <v>143</v>
      </c>
      <c r="S7" s="16" t="s">
        <v>144</v>
      </c>
      <c r="T7" s="16" t="s">
        <v>145</v>
      </c>
      <c r="U7" s="16" t="s">
        <v>143</v>
      </c>
      <c r="V7" s="16" t="s">
        <v>144</v>
      </c>
      <c r="W7" s="16" t="s">
        <v>145</v>
      </c>
    </row>
    <row r="8" spans="2:23" ht="14.4" customHeight="1" x14ac:dyDescent="0.3">
      <c r="B8" s="88" t="s">
        <v>32</v>
      </c>
      <c r="C8" s="88" t="s">
        <v>34</v>
      </c>
      <c r="D8" s="88"/>
      <c r="E8" s="88"/>
      <c r="F8" s="96" t="s">
        <v>20</v>
      </c>
      <c r="G8" s="97"/>
      <c r="H8" s="96" t="s">
        <v>24</v>
      </c>
      <c r="I8" s="97"/>
      <c r="J8" s="96" t="s">
        <v>21</v>
      </c>
      <c r="K8" s="97"/>
      <c r="L8" s="96" t="s">
        <v>23</v>
      </c>
      <c r="M8" s="97"/>
      <c r="N8" s="96" t="s">
        <v>22</v>
      </c>
      <c r="O8" s="97"/>
      <c r="P8" s="66">
        <v>0.2</v>
      </c>
      <c r="Q8" s="67"/>
      <c r="R8" s="114"/>
      <c r="S8" s="114"/>
      <c r="T8" s="114"/>
      <c r="U8" s="232">
        <f>P8*R8</f>
        <v>0</v>
      </c>
      <c r="V8" s="232">
        <f>P8*S8</f>
        <v>0</v>
      </c>
      <c r="W8" s="232">
        <f>P8*T8</f>
        <v>0</v>
      </c>
    </row>
    <row r="9" spans="2:23" ht="37.200000000000003" customHeight="1" x14ac:dyDescent="0.3">
      <c r="B9" s="89"/>
      <c r="C9" s="88"/>
      <c r="D9" s="88"/>
      <c r="E9" s="88"/>
      <c r="F9" s="98"/>
      <c r="G9" s="99"/>
      <c r="H9" s="98"/>
      <c r="I9" s="99"/>
      <c r="J9" s="98"/>
      <c r="K9" s="99"/>
      <c r="L9" s="98"/>
      <c r="M9" s="99"/>
      <c r="N9" s="98"/>
      <c r="O9" s="99"/>
      <c r="P9" s="68"/>
      <c r="Q9" s="69"/>
      <c r="R9" s="58"/>
      <c r="S9" s="58"/>
      <c r="T9" s="58"/>
      <c r="U9" s="113"/>
      <c r="V9" s="113"/>
      <c r="W9" s="113"/>
    </row>
    <row r="10" spans="2:23" ht="14.4" customHeight="1" x14ac:dyDescent="0.3">
      <c r="B10" s="135" t="s">
        <v>210</v>
      </c>
      <c r="C10" s="135" t="s">
        <v>223</v>
      </c>
      <c r="D10" s="135"/>
      <c r="E10" s="135"/>
      <c r="F10" s="237" t="s">
        <v>35</v>
      </c>
      <c r="G10" s="238"/>
      <c r="H10" s="237" t="s">
        <v>36</v>
      </c>
      <c r="I10" s="238"/>
      <c r="J10" s="237" t="s">
        <v>37</v>
      </c>
      <c r="K10" s="238"/>
      <c r="L10" s="237" t="s">
        <v>38</v>
      </c>
      <c r="M10" s="238"/>
      <c r="N10" s="237" t="s">
        <v>39</v>
      </c>
      <c r="O10" s="238"/>
      <c r="P10" s="239">
        <v>0.2</v>
      </c>
      <c r="Q10" s="240"/>
      <c r="R10" s="114"/>
      <c r="S10" s="114"/>
      <c r="T10" s="114"/>
      <c r="U10" s="229">
        <f>P10*R10</f>
        <v>0</v>
      </c>
      <c r="V10" s="229">
        <f>P10*S10</f>
        <v>0</v>
      </c>
      <c r="W10" s="229">
        <f>P10*T10</f>
        <v>0</v>
      </c>
    </row>
    <row r="11" spans="2:23" ht="37.200000000000003" customHeight="1" x14ac:dyDescent="0.3">
      <c r="B11" s="136"/>
      <c r="C11" s="135"/>
      <c r="D11" s="135"/>
      <c r="E11" s="135"/>
      <c r="F11" s="145"/>
      <c r="G11" s="146"/>
      <c r="H11" s="145"/>
      <c r="I11" s="146"/>
      <c r="J11" s="145"/>
      <c r="K11" s="146"/>
      <c r="L11" s="145"/>
      <c r="M11" s="146"/>
      <c r="N11" s="145"/>
      <c r="O11" s="146"/>
      <c r="P11" s="149"/>
      <c r="Q11" s="150"/>
      <c r="R11" s="58"/>
      <c r="S11" s="58"/>
      <c r="T11" s="58"/>
      <c r="U11" s="151"/>
      <c r="V11" s="151"/>
      <c r="W11" s="151"/>
    </row>
    <row r="12" spans="2:23" ht="27.6" customHeight="1" x14ac:dyDescent="0.3">
      <c r="B12" s="192" t="s">
        <v>33</v>
      </c>
      <c r="C12" s="192" t="s">
        <v>222</v>
      </c>
      <c r="D12" s="192"/>
      <c r="E12" s="192"/>
      <c r="F12" s="194" t="s">
        <v>224</v>
      </c>
      <c r="G12" s="194"/>
      <c r="H12" s="194" t="s">
        <v>225</v>
      </c>
      <c r="I12" s="194"/>
      <c r="J12" s="194" t="s">
        <v>226</v>
      </c>
      <c r="K12" s="194"/>
      <c r="L12" s="194" t="s">
        <v>227</v>
      </c>
      <c r="M12" s="194"/>
      <c r="N12" s="194" t="s">
        <v>228</v>
      </c>
      <c r="O12" s="194"/>
      <c r="P12" s="194">
        <v>0.3</v>
      </c>
      <c r="Q12" s="194"/>
      <c r="R12" s="235"/>
      <c r="S12" s="235"/>
      <c r="T12" s="235"/>
      <c r="U12" s="230">
        <f>P12*R12</f>
        <v>0</v>
      </c>
      <c r="V12" s="230">
        <f>P12*S12</f>
        <v>0</v>
      </c>
      <c r="W12" s="230">
        <f>P12*T12</f>
        <v>0</v>
      </c>
    </row>
    <row r="13" spans="2:23" ht="37.200000000000003" customHeight="1" x14ac:dyDescent="0.3">
      <c r="B13" s="193"/>
      <c r="C13" s="192"/>
      <c r="D13" s="192"/>
      <c r="E13" s="192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235"/>
      <c r="S13" s="235"/>
      <c r="T13" s="235"/>
      <c r="U13" s="231"/>
      <c r="V13" s="231"/>
      <c r="W13" s="231"/>
    </row>
    <row r="14" spans="2:23" ht="14.4" customHeight="1" x14ac:dyDescent="0.3">
      <c r="B14" s="78" t="s">
        <v>31</v>
      </c>
      <c r="C14" s="78" t="s">
        <v>221</v>
      </c>
      <c r="D14" s="78"/>
      <c r="E14" s="78"/>
      <c r="F14" s="60" t="s">
        <v>218</v>
      </c>
      <c r="G14" s="61"/>
      <c r="H14" s="60" t="s">
        <v>219</v>
      </c>
      <c r="I14" s="61"/>
      <c r="J14" s="60" t="s">
        <v>220</v>
      </c>
      <c r="K14" s="61"/>
      <c r="L14" s="60" t="s">
        <v>217</v>
      </c>
      <c r="M14" s="61"/>
      <c r="N14" s="60" t="s">
        <v>216</v>
      </c>
      <c r="O14" s="61"/>
      <c r="P14" s="33">
        <v>0.3</v>
      </c>
      <c r="Q14" s="34"/>
      <c r="R14" s="114"/>
      <c r="S14" s="114"/>
      <c r="T14" s="114"/>
      <c r="U14" s="228">
        <f>P14*R14</f>
        <v>0</v>
      </c>
      <c r="V14" s="228">
        <f>P14*S14</f>
        <v>0</v>
      </c>
      <c r="W14" s="228">
        <f>P14*T14</f>
        <v>0</v>
      </c>
    </row>
    <row r="15" spans="2:23" ht="37.200000000000003" customHeight="1" thickBot="1" x14ac:dyDescent="0.35">
      <c r="B15" s="65"/>
      <c r="C15" s="78"/>
      <c r="D15" s="78"/>
      <c r="E15" s="78"/>
      <c r="F15" s="76"/>
      <c r="G15" s="77"/>
      <c r="H15" s="76"/>
      <c r="I15" s="77"/>
      <c r="J15" s="76"/>
      <c r="K15" s="77"/>
      <c r="L15" s="76"/>
      <c r="M15" s="77"/>
      <c r="N15" s="76"/>
      <c r="O15" s="77"/>
      <c r="P15" s="56"/>
      <c r="Q15" s="57"/>
      <c r="R15" s="58"/>
      <c r="S15" s="58"/>
      <c r="T15" s="58"/>
      <c r="U15" s="59"/>
      <c r="V15" s="59"/>
      <c r="W15" s="59"/>
    </row>
    <row r="16" spans="2:23" ht="26.4" thickBot="1" x14ac:dyDescent="0.55000000000000004">
      <c r="B16" s="8"/>
      <c r="C16" s="71" t="s">
        <v>147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233"/>
      <c r="S16" s="233"/>
      <c r="T16" s="234"/>
      <c r="U16" s="15">
        <f>SUM(U8:U15)</f>
        <v>0</v>
      </c>
      <c r="V16" s="15">
        <f>SUM(V8:V15)</f>
        <v>0</v>
      </c>
      <c r="W16" s="17">
        <f>SUM(W8:W15)</f>
        <v>0</v>
      </c>
    </row>
    <row r="17" ht="15" thickTop="1" x14ac:dyDescent="0.3"/>
  </sheetData>
  <mergeCells count="69">
    <mergeCell ref="S10:S11"/>
    <mergeCell ref="T10:T11"/>
    <mergeCell ref="F7:G7"/>
    <mergeCell ref="H7:I7"/>
    <mergeCell ref="J7:K7"/>
    <mergeCell ref="L7:M7"/>
    <mergeCell ref="N7:O7"/>
    <mergeCell ref="R8:R9"/>
    <mergeCell ref="S8:S9"/>
    <mergeCell ref="T8:T9"/>
    <mergeCell ref="H8:I9"/>
    <mergeCell ref="J8:K9"/>
    <mergeCell ref="L8:M9"/>
    <mergeCell ref="N8:O9"/>
    <mergeCell ref="R10:R11"/>
    <mergeCell ref="T12:T13"/>
    <mergeCell ref="R14:R15"/>
    <mergeCell ref="S14:S15"/>
    <mergeCell ref="T14:T15"/>
    <mergeCell ref="C6:E7"/>
    <mergeCell ref="F6:O6"/>
    <mergeCell ref="P6:Q7"/>
    <mergeCell ref="R6:T6"/>
    <mergeCell ref="F10:G11"/>
    <mergeCell ref="H10:I11"/>
    <mergeCell ref="J10:K11"/>
    <mergeCell ref="L10:M11"/>
    <mergeCell ref="P8:Q9"/>
    <mergeCell ref="N10:O11"/>
    <mergeCell ref="P10:Q11"/>
    <mergeCell ref="F8:G9"/>
    <mergeCell ref="C16:T16"/>
    <mergeCell ref="N14:O15"/>
    <mergeCell ref="P14:Q15"/>
    <mergeCell ref="P12:Q13"/>
    <mergeCell ref="C14:E15"/>
    <mergeCell ref="F14:G15"/>
    <mergeCell ref="H14:I15"/>
    <mergeCell ref="J14:K15"/>
    <mergeCell ref="L14:M15"/>
    <mergeCell ref="F12:G13"/>
    <mergeCell ref="H12:I13"/>
    <mergeCell ref="J12:K13"/>
    <mergeCell ref="L12:M13"/>
    <mergeCell ref="N12:O13"/>
    <mergeCell ref="R12:R13"/>
    <mergeCell ref="S12:S13"/>
    <mergeCell ref="B2:D4"/>
    <mergeCell ref="B6:B7"/>
    <mergeCell ref="B8:B9"/>
    <mergeCell ref="B10:B11"/>
    <mergeCell ref="B14:B15"/>
    <mergeCell ref="B12:B13"/>
    <mergeCell ref="C12:E13"/>
    <mergeCell ref="C8:E9"/>
    <mergeCell ref="C10:E11"/>
    <mergeCell ref="W14:W15"/>
    <mergeCell ref="U6:W6"/>
    <mergeCell ref="U10:U11"/>
    <mergeCell ref="V10:V11"/>
    <mergeCell ref="W10:W11"/>
    <mergeCell ref="U12:U13"/>
    <mergeCell ref="V12:V13"/>
    <mergeCell ref="W12:W13"/>
    <mergeCell ref="U14:U15"/>
    <mergeCell ref="V14:V15"/>
    <mergeCell ref="U8:U9"/>
    <mergeCell ref="V8:V9"/>
    <mergeCell ref="W8:W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351A-43A5-4C71-85CF-052BC9F88589}">
  <sheetPr>
    <tabColor theme="7" tint="0.39997558519241921"/>
  </sheetPr>
  <dimension ref="B3:V44"/>
  <sheetViews>
    <sheetView topLeftCell="A19" zoomScale="70" zoomScaleNormal="70" workbookViewId="0">
      <selection activeCell="S9" sqref="S9:T18"/>
    </sheetView>
  </sheetViews>
  <sheetFormatPr defaultColWidth="12.33203125" defaultRowHeight="14.4" x14ac:dyDescent="0.3"/>
  <cols>
    <col min="1" max="1" width="4.88671875" customWidth="1"/>
    <col min="2" max="2" width="5.77734375" customWidth="1"/>
    <col min="3" max="3" width="13.6640625" customWidth="1"/>
    <col min="8" max="8" width="16.5546875" customWidth="1"/>
    <col min="10" max="10" width="18" customWidth="1"/>
    <col min="12" max="12" width="18.109375" customWidth="1"/>
    <col min="14" max="14" width="20" customWidth="1"/>
    <col min="16" max="16" width="21.33203125" customWidth="1"/>
    <col min="17" max="17" width="11.88671875" customWidth="1"/>
    <col min="18" max="18" width="12" hidden="1" customWidth="1"/>
    <col min="19" max="20" width="5.77734375" customWidth="1"/>
  </cols>
  <sheetData>
    <row r="3" spans="3:22" ht="14.4" customHeight="1" x14ac:dyDescent="0.3">
      <c r="C3" s="129" t="s">
        <v>204</v>
      </c>
      <c r="D3" s="130"/>
      <c r="E3" s="130"/>
      <c r="F3" s="13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3:22" ht="14.4" customHeight="1" x14ac:dyDescent="0.3">
      <c r="C4" s="131"/>
      <c r="D4" s="132"/>
      <c r="E4" s="132"/>
      <c r="F4" s="13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spans="3:22" ht="14.4" customHeight="1" x14ac:dyDescent="0.3">
      <c r="C5" s="133"/>
      <c r="D5" s="134"/>
      <c r="E5" s="134"/>
      <c r="F5" s="134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7" spans="3:22" ht="27" customHeight="1" x14ac:dyDescent="0.3">
      <c r="C7" s="120" t="s">
        <v>30</v>
      </c>
      <c r="D7" s="120" t="s">
        <v>0</v>
      </c>
      <c r="E7" s="121"/>
      <c r="F7" s="121"/>
      <c r="G7" s="121" t="s">
        <v>1</v>
      </c>
      <c r="H7" s="121"/>
      <c r="I7" s="121"/>
      <c r="J7" s="121"/>
      <c r="K7" s="121"/>
      <c r="L7" s="121"/>
      <c r="M7" s="121"/>
      <c r="N7" s="121"/>
      <c r="O7" s="121"/>
      <c r="P7" s="121"/>
      <c r="Q7" s="122" t="s">
        <v>2</v>
      </c>
      <c r="R7" s="123"/>
      <c r="S7" s="121" t="s">
        <v>3</v>
      </c>
      <c r="T7" s="121"/>
      <c r="U7" s="121" t="s">
        <v>4</v>
      </c>
      <c r="V7" s="121"/>
    </row>
    <row r="8" spans="3:22" ht="34.950000000000003" customHeight="1" x14ac:dyDescent="0.3">
      <c r="C8" s="121"/>
      <c r="D8" s="121"/>
      <c r="E8" s="121"/>
      <c r="F8" s="121"/>
      <c r="G8" s="126" t="s">
        <v>5</v>
      </c>
      <c r="H8" s="127"/>
      <c r="I8" s="126" t="s">
        <v>6</v>
      </c>
      <c r="J8" s="127"/>
      <c r="K8" s="126" t="s">
        <v>7</v>
      </c>
      <c r="L8" s="127"/>
      <c r="M8" s="126" t="s">
        <v>8</v>
      </c>
      <c r="N8" s="127"/>
      <c r="O8" s="126" t="s">
        <v>9</v>
      </c>
      <c r="P8" s="127"/>
      <c r="Q8" s="124"/>
      <c r="R8" s="125"/>
      <c r="S8" s="121"/>
      <c r="T8" s="121"/>
      <c r="U8" s="121"/>
      <c r="V8" s="121"/>
    </row>
    <row r="9" spans="3:22" ht="14.4" customHeight="1" x14ac:dyDescent="0.3">
      <c r="C9" s="135" t="s">
        <v>108</v>
      </c>
      <c r="D9" s="137" t="s">
        <v>196</v>
      </c>
      <c r="E9" s="138"/>
      <c r="F9" s="139"/>
      <c r="G9" s="143" t="s">
        <v>109</v>
      </c>
      <c r="H9" s="144"/>
      <c r="I9" s="143" t="s">
        <v>110</v>
      </c>
      <c r="J9" s="144"/>
      <c r="K9" s="143" t="s">
        <v>111</v>
      </c>
      <c r="L9" s="144"/>
      <c r="M9" s="143" t="s">
        <v>112</v>
      </c>
      <c r="N9" s="144"/>
      <c r="O9" s="143" t="s">
        <v>113</v>
      </c>
      <c r="P9" s="144"/>
      <c r="Q9" s="147">
        <v>0.4</v>
      </c>
      <c r="R9" s="148"/>
      <c r="S9" s="58"/>
      <c r="T9" s="58"/>
      <c r="U9" s="151">
        <f>Q9*S9</f>
        <v>0</v>
      </c>
      <c r="V9" s="151"/>
    </row>
    <row r="10" spans="3:22" ht="37.200000000000003" customHeight="1" x14ac:dyDescent="0.3">
      <c r="C10" s="136"/>
      <c r="D10" s="140"/>
      <c r="E10" s="141"/>
      <c r="F10" s="142"/>
      <c r="G10" s="145"/>
      <c r="H10" s="146"/>
      <c r="I10" s="145"/>
      <c r="J10" s="146"/>
      <c r="K10" s="145"/>
      <c r="L10" s="146"/>
      <c r="M10" s="145"/>
      <c r="N10" s="146"/>
      <c r="O10" s="145"/>
      <c r="P10" s="146"/>
      <c r="Q10" s="149"/>
      <c r="R10" s="150"/>
      <c r="S10" s="26"/>
      <c r="T10" s="26"/>
      <c r="U10" s="152"/>
      <c r="V10" s="152"/>
    </row>
    <row r="11" spans="3:22" ht="14.4" customHeight="1" x14ac:dyDescent="0.3">
      <c r="C11" s="78" t="s">
        <v>128</v>
      </c>
      <c r="D11" s="78" t="s">
        <v>167</v>
      </c>
      <c r="E11" s="78"/>
      <c r="F11" s="78"/>
      <c r="G11" s="60" t="s">
        <v>163</v>
      </c>
      <c r="H11" s="61"/>
      <c r="I11" s="60" t="s">
        <v>166</v>
      </c>
      <c r="J11" s="61"/>
      <c r="K11" s="60" t="s">
        <v>165</v>
      </c>
      <c r="L11" s="61"/>
      <c r="M11" s="60" t="s">
        <v>164</v>
      </c>
      <c r="N11" s="61"/>
      <c r="O11" s="60" t="s">
        <v>162</v>
      </c>
      <c r="P11" s="61"/>
      <c r="Q11" s="33">
        <v>0.5</v>
      </c>
      <c r="R11" s="34"/>
      <c r="S11" s="26"/>
      <c r="T11" s="26"/>
      <c r="U11" s="38">
        <f>Q11*S11</f>
        <v>0</v>
      </c>
      <c r="V11" s="38"/>
    </row>
    <row r="12" spans="3:22" ht="37.200000000000003" customHeight="1" x14ac:dyDescent="0.3">
      <c r="C12" s="65"/>
      <c r="D12" s="78"/>
      <c r="E12" s="78"/>
      <c r="F12" s="78"/>
      <c r="G12" s="76"/>
      <c r="H12" s="77"/>
      <c r="I12" s="76"/>
      <c r="J12" s="77"/>
      <c r="K12" s="76"/>
      <c r="L12" s="77"/>
      <c r="M12" s="76"/>
      <c r="N12" s="77"/>
      <c r="O12" s="76"/>
      <c r="P12" s="77"/>
      <c r="Q12" s="56"/>
      <c r="R12" s="57"/>
      <c r="S12" s="26"/>
      <c r="T12" s="26"/>
      <c r="U12" s="38"/>
      <c r="V12" s="38"/>
    </row>
    <row r="13" spans="3:22" ht="14.4" customHeight="1" x14ac:dyDescent="0.3">
      <c r="C13" s="128" t="s">
        <v>114</v>
      </c>
      <c r="D13" s="88" t="s">
        <v>156</v>
      </c>
      <c r="E13" s="88"/>
      <c r="F13" s="88"/>
      <c r="G13" s="96" t="s">
        <v>159</v>
      </c>
      <c r="H13" s="97"/>
      <c r="I13" s="96" t="s">
        <v>161</v>
      </c>
      <c r="J13" s="97"/>
      <c r="K13" s="96" t="s">
        <v>160</v>
      </c>
      <c r="L13" s="97"/>
      <c r="M13" s="96" t="s">
        <v>157</v>
      </c>
      <c r="N13" s="97"/>
      <c r="O13" s="96" t="s">
        <v>158</v>
      </c>
      <c r="P13" s="97"/>
      <c r="Q13" s="66">
        <v>0.5</v>
      </c>
      <c r="R13" s="67"/>
      <c r="S13" s="26"/>
      <c r="T13" s="26"/>
      <c r="U13" s="70">
        <f>Q13*S13</f>
        <v>0</v>
      </c>
      <c r="V13" s="70"/>
    </row>
    <row r="14" spans="3:22" ht="37.200000000000003" customHeight="1" x14ac:dyDescent="0.3">
      <c r="C14" s="89"/>
      <c r="D14" s="88"/>
      <c r="E14" s="88"/>
      <c r="F14" s="88"/>
      <c r="G14" s="98"/>
      <c r="H14" s="99"/>
      <c r="I14" s="98"/>
      <c r="J14" s="99"/>
      <c r="K14" s="98"/>
      <c r="L14" s="99"/>
      <c r="M14" s="98"/>
      <c r="N14" s="99"/>
      <c r="O14" s="98"/>
      <c r="P14" s="99"/>
      <c r="Q14" s="68"/>
      <c r="R14" s="69"/>
      <c r="S14" s="26"/>
      <c r="T14" s="26"/>
      <c r="U14" s="70"/>
      <c r="V14" s="70"/>
    </row>
    <row r="15" spans="3:22" ht="14.4" customHeight="1" x14ac:dyDescent="0.3">
      <c r="C15" s="43" t="s">
        <v>121</v>
      </c>
      <c r="D15" s="45" t="s">
        <v>122</v>
      </c>
      <c r="E15" s="46"/>
      <c r="F15" s="47"/>
      <c r="G15" s="18" t="s">
        <v>123</v>
      </c>
      <c r="H15" s="19"/>
      <c r="I15" s="18" t="s">
        <v>124</v>
      </c>
      <c r="J15" s="19"/>
      <c r="K15" s="18" t="s">
        <v>125</v>
      </c>
      <c r="L15" s="19"/>
      <c r="M15" s="18" t="s">
        <v>126</v>
      </c>
      <c r="N15" s="19"/>
      <c r="O15" s="18" t="s">
        <v>127</v>
      </c>
      <c r="P15" s="19"/>
      <c r="Q15" s="22">
        <v>0.3</v>
      </c>
      <c r="R15" s="23"/>
      <c r="S15" s="26"/>
      <c r="T15" s="26"/>
      <c r="U15" s="27">
        <f>Q15*S15</f>
        <v>0</v>
      </c>
      <c r="V15" s="27"/>
    </row>
    <row r="16" spans="3:22" ht="37.200000000000003" customHeight="1" x14ac:dyDescent="0.3">
      <c r="C16" s="44"/>
      <c r="D16" s="48"/>
      <c r="E16" s="49"/>
      <c r="F16" s="50"/>
      <c r="G16" s="20"/>
      <c r="H16" s="21"/>
      <c r="I16" s="20"/>
      <c r="J16" s="21"/>
      <c r="K16" s="20"/>
      <c r="L16" s="21"/>
      <c r="M16" s="20"/>
      <c r="N16" s="21"/>
      <c r="O16" s="20"/>
      <c r="P16" s="21"/>
      <c r="Q16" s="24"/>
      <c r="R16" s="25"/>
      <c r="S16" s="26"/>
      <c r="T16" s="26"/>
      <c r="U16" s="27"/>
      <c r="V16" s="27"/>
    </row>
    <row r="17" spans="2:22" ht="14.4" customHeight="1" x14ac:dyDescent="0.3">
      <c r="C17" s="78" t="s">
        <v>128</v>
      </c>
      <c r="D17" s="80" t="s">
        <v>130</v>
      </c>
      <c r="E17" s="81"/>
      <c r="F17" s="82"/>
      <c r="G17" s="60" t="s">
        <v>131</v>
      </c>
      <c r="H17" s="61"/>
      <c r="I17" s="60" t="s">
        <v>132</v>
      </c>
      <c r="J17" s="61"/>
      <c r="K17" s="60" t="s">
        <v>133</v>
      </c>
      <c r="L17" s="61"/>
      <c r="M17" s="60" t="s">
        <v>134</v>
      </c>
      <c r="N17" s="61"/>
      <c r="O17" s="60" t="s">
        <v>135</v>
      </c>
      <c r="P17" s="61"/>
      <c r="Q17" s="33">
        <v>0.3</v>
      </c>
      <c r="R17" s="34"/>
      <c r="S17" s="26"/>
      <c r="T17" s="26"/>
      <c r="U17" s="38">
        <f>S17*Q17</f>
        <v>0</v>
      </c>
      <c r="V17" s="38"/>
    </row>
    <row r="18" spans="2:22" ht="37.200000000000003" customHeight="1" thickBot="1" x14ac:dyDescent="0.35">
      <c r="C18" s="79"/>
      <c r="D18" s="103"/>
      <c r="E18" s="104"/>
      <c r="F18" s="105"/>
      <c r="G18" s="76"/>
      <c r="H18" s="77"/>
      <c r="I18" s="76"/>
      <c r="J18" s="77"/>
      <c r="K18" s="76"/>
      <c r="L18" s="77"/>
      <c r="M18" s="76"/>
      <c r="N18" s="77"/>
      <c r="O18" s="76"/>
      <c r="P18" s="77"/>
      <c r="Q18" s="56"/>
      <c r="R18" s="57"/>
      <c r="S18" s="26"/>
      <c r="T18" s="26"/>
      <c r="U18" s="38"/>
      <c r="V18" s="38"/>
    </row>
    <row r="19" spans="2:22" ht="26.4" thickBot="1" x14ac:dyDescent="0.55000000000000004">
      <c r="C19" s="71" t="s">
        <v>136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U19" s="74">
        <f>SUM(U9:V18)</f>
        <v>0</v>
      </c>
      <c r="V19" s="75"/>
    </row>
    <row r="20" spans="2:22" ht="15" thickTop="1" x14ac:dyDescent="0.3"/>
    <row r="22" spans="2:22" ht="27" customHeight="1" x14ac:dyDescent="0.3">
      <c r="C22" s="120" t="s">
        <v>30</v>
      </c>
      <c r="D22" s="120" t="s">
        <v>0</v>
      </c>
      <c r="E22" s="121"/>
      <c r="F22" s="121"/>
      <c r="G22" s="121" t="s">
        <v>1</v>
      </c>
      <c r="H22" s="121"/>
      <c r="I22" s="121"/>
      <c r="J22" s="121"/>
      <c r="K22" s="121"/>
      <c r="L22" s="121"/>
      <c r="M22" s="121"/>
      <c r="N22" s="121"/>
      <c r="O22" s="121"/>
      <c r="P22" s="121"/>
      <c r="Q22" s="122" t="s">
        <v>2</v>
      </c>
      <c r="R22" s="123"/>
      <c r="S22" s="121" t="s">
        <v>3</v>
      </c>
      <c r="T22" s="121"/>
      <c r="U22" s="121" t="s">
        <v>4</v>
      </c>
      <c r="V22" s="121"/>
    </row>
    <row r="23" spans="2:22" ht="34.950000000000003" customHeight="1" x14ac:dyDescent="0.3">
      <c r="C23" s="121"/>
      <c r="D23" s="121"/>
      <c r="E23" s="121"/>
      <c r="F23" s="121"/>
      <c r="G23" s="126" t="s">
        <v>5</v>
      </c>
      <c r="H23" s="127"/>
      <c r="I23" s="126" t="s">
        <v>6</v>
      </c>
      <c r="J23" s="127"/>
      <c r="K23" s="126" t="s">
        <v>7</v>
      </c>
      <c r="L23" s="127"/>
      <c r="M23" s="126" t="s">
        <v>8</v>
      </c>
      <c r="N23" s="127"/>
      <c r="O23" s="126" t="s">
        <v>9</v>
      </c>
      <c r="P23" s="127"/>
      <c r="Q23" s="124"/>
      <c r="R23" s="125"/>
      <c r="S23" s="121"/>
      <c r="T23" s="121"/>
      <c r="U23" s="121"/>
      <c r="V23" s="121"/>
    </row>
    <row r="24" spans="2:22" ht="14.4" customHeight="1" x14ac:dyDescent="0.3">
      <c r="B24" s="30" t="s">
        <v>153</v>
      </c>
      <c r="C24" s="88" t="s">
        <v>114</v>
      </c>
      <c r="D24" s="88" t="s">
        <v>115</v>
      </c>
      <c r="E24" s="88"/>
      <c r="F24" s="88"/>
      <c r="G24" s="96" t="s">
        <v>116</v>
      </c>
      <c r="H24" s="97"/>
      <c r="I24" s="96" t="s">
        <v>117</v>
      </c>
      <c r="J24" s="97"/>
      <c r="K24" s="96" t="s">
        <v>118</v>
      </c>
      <c r="L24" s="97"/>
      <c r="M24" s="96" t="s">
        <v>119</v>
      </c>
      <c r="N24" s="97"/>
      <c r="O24" s="96" t="s">
        <v>120</v>
      </c>
      <c r="P24" s="97"/>
      <c r="Q24" s="66">
        <v>1</v>
      </c>
      <c r="R24" s="67"/>
      <c r="S24" s="26"/>
      <c r="T24" s="26"/>
      <c r="U24" s="70">
        <f>Q24*S24</f>
        <v>0</v>
      </c>
      <c r="V24" s="70"/>
    </row>
    <row r="25" spans="2:22" ht="37.200000000000003" customHeight="1" x14ac:dyDescent="0.3">
      <c r="B25" s="31"/>
      <c r="C25" s="89"/>
      <c r="D25" s="88"/>
      <c r="E25" s="88"/>
      <c r="F25" s="88"/>
      <c r="G25" s="98"/>
      <c r="H25" s="99"/>
      <c r="I25" s="98"/>
      <c r="J25" s="99"/>
      <c r="K25" s="98"/>
      <c r="L25" s="99"/>
      <c r="M25" s="98"/>
      <c r="N25" s="99"/>
      <c r="O25" s="98"/>
      <c r="P25" s="99"/>
      <c r="Q25" s="68"/>
      <c r="R25" s="69"/>
      <c r="S25" s="26"/>
      <c r="T25" s="26"/>
      <c r="U25" s="70"/>
      <c r="V25" s="70"/>
    </row>
    <row r="26" spans="2:22" ht="14.4" customHeight="1" x14ac:dyDescent="0.3">
      <c r="B26" s="31"/>
      <c r="C26" s="116" t="s">
        <v>121</v>
      </c>
      <c r="D26" s="45" t="s">
        <v>173</v>
      </c>
      <c r="E26" s="46"/>
      <c r="F26" s="47"/>
      <c r="G26" s="18" t="s">
        <v>191</v>
      </c>
      <c r="H26" s="19"/>
      <c r="I26" s="18" t="s">
        <v>193</v>
      </c>
      <c r="J26" s="19"/>
      <c r="K26" s="18" t="s">
        <v>194</v>
      </c>
      <c r="L26" s="19"/>
      <c r="M26" s="18" t="s">
        <v>195</v>
      </c>
      <c r="N26" s="19"/>
      <c r="O26" s="18" t="s">
        <v>192</v>
      </c>
      <c r="P26" s="19"/>
      <c r="Q26" s="22">
        <v>1</v>
      </c>
      <c r="R26" s="23"/>
      <c r="S26" s="26"/>
      <c r="T26" s="26"/>
      <c r="U26" s="27">
        <f>Q26*S26</f>
        <v>0</v>
      </c>
      <c r="V26" s="27"/>
    </row>
    <row r="27" spans="2:22" ht="37.200000000000003" customHeight="1" x14ac:dyDescent="0.3">
      <c r="B27" s="31"/>
      <c r="C27" s="43"/>
      <c r="D27" s="117"/>
      <c r="E27" s="118"/>
      <c r="F27" s="119"/>
      <c r="G27" s="51"/>
      <c r="H27" s="52"/>
      <c r="I27" s="51"/>
      <c r="J27" s="52"/>
      <c r="K27" s="51"/>
      <c r="L27" s="52"/>
      <c r="M27" s="51"/>
      <c r="N27" s="52"/>
      <c r="O27" s="51"/>
      <c r="P27" s="52"/>
      <c r="Q27" s="86"/>
      <c r="R27" s="87"/>
      <c r="S27" s="114"/>
      <c r="T27" s="114"/>
      <c r="U27" s="115"/>
      <c r="V27" s="115"/>
    </row>
    <row r="28" spans="2:22" ht="14.4" customHeight="1" x14ac:dyDescent="0.3">
      <c r="B28" s="31"/>
      <c r="C28" s="78" t="s">
        <v>128</v>
      </c>
      <c r="D28" s="80" t="s">
        <v>129</v>
      </c>
      <c r="E28" s="81"/>
      <c r="F28" s="82"/>
      <c r="G28" s="60" t="s">
        <v>172</v>
      </c>
      <c r="H28" s="61"/>
      <c r="I28" s="60" t="s">
        <v>171</v>
      </c>
      <c r="J28" s="61"/>
      <c r="K28" s="60" t="s">
        <v>170</v>
      </c>
      <c r="L28" s="61"/>
      <c r="M28" s="60" t="s">
        <v>169</v>
      </c>
      <c r="N28" s="61"/>
      <c r="O28" s="60" t="s">
        <v>168</v>
      </c>
      <c r="P28" s="61"/>
      <c r="Q28" s="33">
        <v>1</v>
      </c>
      <c r="R28" s="34"/>
      <c r="S28" s="26"/>
      <c r="T28" s="26"/>
      <c r="U28" s="38">
        <f>Q28*S28</f>
        <v>0</v>
      </c>
      <c r="V28" s="38"/>
    </row>
    <row r="29" spans="2:22" ht="37.200000000000003" customHeight="1" thickBot="1" x14ac:dyDescent="0.35">
      <c r="B29" s="32"/>
      <c r="C29" s="79"/>
      <c r="D29" s="83"/>
      <c r="E29" s="84"/>
      <c r="F29" s="85"/>
      <c r="G29" s="62"/>
      <c r="H29" s="63"/>
      <c r="I29" s="62"/>
      <c r="J29" s="63"/>
      <c r="K29" s="62"/>
      <c r="L29" s="63"/>
      <c r="M29" s="62"/>
      <c r="N29" s="63"/>
      <c r="O29" s="62"/>
      <c r="P29" s="63"/>
      <c r="Q29" s="35"/>
      <c r="R29" s="36"/>
      <c r="S29" s="37"/>
      <c r="T29" s="37"/>
      <c r="U29" s="39"/>
      <c r="V29" s="39"/>
    </row>
    <row r="30" spans="2:22" ht="14.4" customHeight="1" x14ac:dyDescent="0.3">
      <c r="B30" s="40" t="s">
        <v>154</v>
      </c>
      <c r="C30" s="88" t="s">
        <v>114</v>
      </c>
      <c r="D30" s="106" t="s">
        <v>197</v>
      </c>
      <c r="E30" s="107"/>
      <c r="F30" s="108"/>
      <c r="G30" s="109" t="s">
        <v>209</v>
      </c>
      <c r="H30" s="110"/>
      <c r="I30" s="109" t="s">
        <v>208</v>
      </c>
      <c r="J30" s="110"/>
      <c r="K30" s="109" t="s">
        <v>207</v>
      </c>
      <c r="L30" s="110"/>
      <c r="M30" s="109" t="s">
        <v>206</v>
      </c>
      <c r="N30" s="110"/>
      <c r="O30" s="109" t="s">
        <v>205</v>
      </c>
      <c r="P30" s="110"/>
      <c r="Q30" s="111">
        <v>1</v>
      </c>
      <c r="R30" s="112"/>
      <c r="S30" s="58"/>
      <c r="T30" s="58"/>
      <c r="U30" s="113">
        <f>Q30*S30</f>
        <v>0</v>
      </c>
      <c r="V30" s="113"/>
    </row>
    <row r="31" spans="2:22" ht="37.200000000000003" customHeight="1" x14ac:dyDescent="0.3">
      <c r="B31" s="41"/>
      <c r="C31" s="89"/>
      <c r="D31" s="93"/>
      <c r="E31" s="94"/>
      <c r="F31" s="95"/>
      <c r="G31" s="98"/>
      <c r="H31" s="99"/>
      <c r="I31" s="98"/>
      <c r="J31" s="99"/>
      <c r="K31" s="98"/>
      <c r="L31" s="99"/>
      <c r="M31" s="98"/>
      <c r="N31" s="99"/>
      <c r="O31" s="98"/>
      <c r="P31" s="99"/>
      <c r="Q31" s="68"/>
      <c r="R31" s="69"/>
      <c r="S31" s="26"/>
      <c r="T31" s="26"/>
      <c r="U31" s="70"/>
      <c r="V31" s="70"/>
    </row>
    <row r="32" spans="2:22" ht="14.4" customHeight="1" x14ac:dyDescent="0.3">
      <c r="B32" s="41"/>
      <c r="C32" s="43" t="s">
        <v>121</v>
      </c>
      <c r="D32" s="45" t="s">
        <v>203</v>
      </c>
      <c r="E32" s="46"/>
      <c r="F32" s="47"/>
      <c r="G32" s="18" t="s">
        <v>202</v>
      </c>
      <c r="H32" s="19"/>
      <c r="I32" s="18" t="s">
        <v>201</v>
      </c>
      <c r="J32" s="19"/>
      <c r="K32" s="18" t="s">
        <v>200</v>
      </c>
      <c r="L32" s="19"/>
      <c r="M32" s="18" t="s">
        <v>199</v>
      </c>
      <c r="N32" s="19"/>
      <c r="O32" s="18" t="s">
        <v>198</v>
      </c>
      <c r="P32" s="19"/>
      <c r="Q32" s="22">
        <v>1</v>
      </c>
      <c r="R32" s="23"/>
      <c r="S32" s="26"/>
      <c r="T32" s="26"/>
      <c r="U32" s="27">
        <f>Q32*S32</f>
        <v>0</v>
      </c>
      <c r="V32" s="27"/>
    </row>
    <row r="33" spans="2:22" ht="37.200000000000003" customHeight="1" x14ac:dyDescent="0.3">
      <c r="B33" s="41"/>
      <c r="C33" s="44"/>
      <c r="D33" s="48"/>
      <c r="E33" s="49"/>
      <c r="F33" s="50"/>
      <c r="G33" s="20"/>
      <c r="H33" s="21"/>
      <c r="I33" s="20"/>
      <c r="J33" s="21"/>
      <c r="K33" s="20"/>
      <c r="L33" s="21"/>
      <c r="M33" s="20"/>
      <c r="N33" s="21"/>
      <c r="O33" s="20"/>
      <c r="P33" s="21"/>
      <c r="Q33" s="24"/>
      <c r="R33" s="25"/>
      <c r="S33" s="26"/>
      <c r="T33" s="26"/>
      <c r="U33" s="27"/>
      <c r="V33" s="27"/>
    </row>
    <row r="34" spans="2:22" ht="14.4" customHeight="1" x14ac:dyDescent="0.3">
      <c r="B34" s="41"/>
      <c r="C34" s="78" t="s">
        <v>128</v>
      </c>
      <c r="D34" s="80" t="s">
        <v>189</v>
      </c>
      <c r="E34" s="81"/>
      <c r="F34" s="82"/>
      <c r="G34" s="60" t="s">
        <v>190</v>
      </c>
      <c r="H34" s="61"/>
      <c r="I34" s="60" t="s">
        <v>188</v>
      </c>
      <c r="J34" s="61"/>
      <c r="K34" s="60" t="s">
        <v>187</v>
      </c>
      <c r="L34" s="61"/>
      <c r="M34" s="60" t="s">
        <v>186</v>
      </c>
      <c r="N34" s="61"/>
      <c r="O34" s="60" t="s">
        <v>185</v>
      </c>
      <c r="P34" s="61"/>
      <c r="Q34" s="33">
        <v>1</v>
      </c>
      <c r="R34" s="34"/>
      <c r="S34" s="26"/>
      <c r="T34" s="26"/>
      <c r="U34" s="38">
        <f>Q34*S34</f>
        <v>0</v>
      </c>
      <c r="V34" s="38"/>
    </row>
    <row r="35" spans="2:22" ht="37.200000000000003" customHeight="1" thickBot="1" x14ac:dyDescent="0.35">
      <c r="B35" s="42"/>
      <c r="C35" s="79"/>
      <c r="D35" s="83"/>
      <c r="E35" s="84"/>
      <c r="F35" s="85"/>
      <c r="G35" s="62"/>
      <c r="H35" s="63"/>
      <c r="I35" s="62"/>
      <c r="J35" s="63"/>
      <c r="K35" s="62"/>
      <c r="L35" s="63"/>
      <c r="M35" s="62"/>
      <c r="N35" s="63"/>
      <c r="O35" s="62"/>
      <c r="P35" s="63"/>
      <c r="Q35" s="35"/>
      <c r="R35" s="36"/>
      <c r="S35" s="37"/>
      <c r="T35" s="37"/>
      <c r="U35" s="39"/>
      <c r="V35" s="39"/>
    </row>
    <row r="36" spans="2:22" ht="14.4" customHeight="1" x14ac:dyDescent="0.3">
      <c r="B36" s="28" t="s">
        <v>155</v>
      </c>
      <c r="C36" s="88" t="s">
        <v>114</v>
      </c>
      <c r="D36" s="90" t="s">
        <v>178</v>
      </c>
      <c r="E36" s="91"/>
      <c r="F36" s="92"/>
      <c r="G36" s="96" t="s">
        <v>181</v>
      </c>
      <c r="H36" s="97"/>
      <c r="I36" s="96" t="s">
        <v>184</v>
      </c>
      <c r="J36" s="97"/>
      <c r="K36" s="96" t="s">
        <v>183</v>
      </c>
      <c r="L36" s="97"/>
      <c r="M36" s="96" t="s">
        <v>182</v>
      </c>
      <c r="N36" s="97"/>
      <c r="O36" s="96" t="s">
        <v>180</v>
      </c>
      <c r="P36" s="97"/>
      <c r="Q36" s="66">
        <v>1</v>
      </c>
      <c r="R36" s="67"/>
      <c r="S36" s="26"/>
      <c r="T36" s="26"/>
      <c r="U36" s="70">
        <f>S36*Q36</f>
        <v>0</v>
      </c>
      <c r="V36" s="70"/>
    </row>
    <row r="37" spans="2:22" ht="37.200000000000003" customHeight="1" x14ac:dyDescent="0.3">
      <c r="B37" s="29"/>
      <c r="C37" s="89"/>
      <c r="D37" s="93"/>
      <c r="E37" s="94"/>
      <c r="F37" s="95"/>
      <c r="G37" s="98"/>
      <c r="H37" s="99"/>
      <c r="I37" s="98"/>
      <c r="J37" s="99"/>
      <c r="K37" s="98"/>
      <c r="L37" s="99"/>
      <c r="M37" s="98"/>
      <c r="N37" s="99"/>
      <c r="O37" s="98"/>
      <c r="P37" s="99"/>
      <c r="Q37" s="68"/>
      <c r="R37" s="69"/>
      <c r="S37" s="26"/>
      <c r="T37" s="26"/>
      <c r="U37" s="70"/>
      <c r="V37" s="70"/>
    </row>
    <row r="38" spans="2:22" ht="14.4" customHeight="1" x14ac:dyDescent="0.3">
      <c r="B38" s="29"/>
      <c r="C38" s="43" t="s">
        <v>121</v>
      </c>
      <c r="D38" s="45" t="s">
        <v>174</v>
      </c>
      <c r="E38" s="46"/>
      <c r="F38" s="47"/>
      <c r="G38" s="18" t="s">
        <v>175</v>
      </c>
      <c r="H38" s="19"/>
      <c r="I38" s="18" t="s">
        <v>179</v>
      </c>
      <c r="J38" s="19"/>
      <c r="K38" s="18" t="s">
        <v>177</v>
      </c>
      <c r="L38" s="19"/>
      <c r="M38" s="18" t="s">
        <v>177</v>
      </c>
      <c r="N38" s="19"/>
      <c r="O38" s="18" t="s">
        <v>176</v>
      </c>
      <c r="P38" s="19"/>
      <c r="Q38" s="22">
        <v>1</v>
      </c>
      <c r="R38" s="23"/>
      <c r="S38" s="26"/>
      <c r="T38" s="26"/>
      <c r="U38" s="27">
        <f>Q38*S38</f>
        <v>0</v>
      </c>
      <c r="V38" s="27"/>
    </row>
    <row r="39" spans="2:22" ht="37.200000000000003" customHeight="1" x14ac:dyDescent="0.3">
      <c r="B39" s="29"/>
      <c r="C39" s="44"/>
      <c r="D39" s="48"/>
      <c r="E39" s="49"/>
      <c r="F39" s="50"/>
      <c r="G39" s="20"/>
      <c r="H39" s="21"/>
      <c r="I39" s="20"/>
      <c r="J39" s="21"/>
      <c r="K39" s="20"/>
      <c r="L39" s="21"/>
      <c r="M39" s="20"/>
      <c r="N39" s="21"/>
      <c r="O39" s="20"/>
      <c r="P39" s="21"/>
      <c r="Q39" s="24"/>
      <c r="R39" s="25"/>
      <c r="S39" s="26"/>
      <c r="T39" s="26"/>
      <c r="U39" s="27"/>
      <c r="V39" s="27"/>
    </row>
    <row r="40" spans="2:22" ht="14.4" customHeight="1" x14ac:dyDescent="0.3">
      <c r="B40" s="29"/>
      <c r="C40" s="64" t="s">
        <v>128</v>
      </c>
      <c r="D40" s="100" t="s">
        <v>129</v>
      </c>
      <c r="E40" s="101"/>
      <c r="F40" s="102"/>
      <c r="G40" s="53" t="s">
        <v>215</v>
      </c>
      <c r="H40" s="53"/>
      <c r="I40" s="53" t="s">
        <v>214</v>
      </c>
      <c r="J40" s="53"/>
      <c r="K40" s="53" t="s">
        <v>213</v>
      </c>
      <c r="L40" s="53"/>
      <c r="M40" s="53" t="s">
        <v>212</v>
      </c>
      <c r="N40" s="53"/>
      <c r="O40" s="53" t="s">
        <v>211</v>
      </c>
      <c r="P40" s="53"/>
      <c r="Q40" s="54">
        <v>1</v>
      </c>
      <c r="R40" s="55"/>
      <c r="S40" s="58"/>
      <c r="T40" s="58"/>
      <c r="U40" s="59">
        <f>Q40*S40</f>
        <v>0</v>
      </c>
      <c r="V40" s="59"/>
    </row>
    <row r="41" spans="2:22" ht="37.200000000000003" customHeight="1" thickBot="1" x14ac:dyDescent="0.35">
      <c r="B41" s="29"/>
      <c r="C41" s="65"/>
      <c r="D41" s="103"/>
      <c r="E41" s="104"/>
      <c r="F41" s="105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6"/>
      <c r="R41" s="57"/>
      <c r="S41" s="26"/>
      <c r="T41" s="26"/>
      <c r="U41" s="38"/>
      <c r="V41" s="38"/>
    </row>
    <row r="42" spans="2:22" ht="26.4" thickBot="1" x14ac:dyDescent="0.55000000000000004">
      <c r="C42" s="71" t="s">
        <v>151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/>
      <c r="U42" s="74">
        <f>SUM(U24:V41)</f>
        <v>0</v>
      </c>
      <c r="V42" s="75"/>
    </row>
    <row r="43" spans="2:22" ht="27" thickTop="1" thickBot="1" x14ac:dyDescent="0.55000000000000004">
      <c r="C43" s="71" t="s">
        <v>152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3"/>
      <c r="U43" s="74">
        <f>U19+U42</f>
        <v>0</v>
      </c>
      <c r="V43" s="75"/>
    </row>
    <row r="44" spans="2:22" ht="15" thickTop="1" x14ac:dyDescent="0.3"/>
  </sheetData>
  <mergeCells count="172">
    <mergeCell ref="C3:F5"/>
    <mergeCell ref="U17:V18"/>
    <mergeCell ref="C19:T19"/>
    <mergeCell ref="C7:C8"/>
    <mergeCell ref="D7:F8"/>
    <mergeCell ref="G7:P7"/>
    <mergeCell ref="G8:H8"/>
    <mergeCell ref="Q7:R8"/>
    <mergeCell ref="S7:T8"/>
    <mergeCell ref="U7:V8"/>
    <mergeCell ref="I8:J8"/>
    <mergeCell ref="K8:L8"/>
    <mergeCell ref="M8:N8"/>
    <mergeCell ref="O8:P8"/>
    <mergeCell ref="C9:C10"/>
    <mergeCell ref="D9:F10"/>
    <mergeCell ref="G9:H10"/>
    <mergeCell ref="I9:J10"/>
    <mergeCell ref="K9:L10"/>
    <mergeCell ref="M9:N10"/>
    <mergeCell ref="O9:P10"/>
    <mergeCell ref="Q9:R10"/>
    <mergeCell ref="S9:T10"/>
    <mergeCell ref="U9:V10"/>
    <mergeCell ref="C13:C14"/>
    <mergeCell ref="D13:F14"/>
    <mergeCell ref="G13:H14"/>
    <mergeCell ref="I13:J14"/>
    <mergeCell ref="K13:L14"/>
    <mergeCell ref="M13:N14"/>
    <mergeCell ref="O13:P14"/>
    <mergeCell ref="U15:V16"/>
    <mergeCell ref="Q13:R14"/>
    <mergeCell ref="S13:T14"/>
    <mergeCell ref="U13:V14"/>
    <mergeCell ref="C15:C16"/>
    <mergeCell ref="D15:F16"/>
    <mergeCell ref="G15:H16"/>
    <mergeCell ref="I15:J16"/>
    <mergeCell ref="K15:L16"/>
    <mergeCell ref="M15:N16"/>
    <mergeCell ref="O15:P16"/>
    <mergeCell ref="C17:C18"/>
    <mergeCell ref="D17:F18"/>
    <mergeCell ref="G17:H18"/>
    <mergeCell ref="I17:J18"/>
    <mergeCell ref="K17:L18"/>
    <mergeCell ref="M17:N18"/>
    <mergeCell ref="O17:P18"/>
    <mergeCell ref="Q15:R16"/>
    <mergeCell ref="S15:T16"/>
    <mergeCell ref="Q17:R18"/>
    <mergeCell ref="S17:T18"/>
    <mergeCell ref="U19:V19"/>
    <mergeCell ref="C22:C23"/>
    <mergeCell ref="D22:F23"/>
    <mergeCell ref="G22:P22"/>
    <mergeCell ref="Q22:R23"/>
    <mergeCell ref="S22:T23"/>
    <mergeCell ref="U22:V23"/>
    <mergeCell ref="G23:H23"/>
    <mergeCell ref="I23:J23"/>
    <mergeCell ref="K23:L23"/>
    <mergeCell ref="M23:N23"/>
    <mergeCell ref="O23:P23"/>
    <mergeCell ref="C28:C29"/>
    <mergeCell ref="D28:F29"/>
    <mergeCell ref="G28:H29"/>
    <mergeCell ref="I28:J29"/>
    <mergeCell ref="K28:L29"/>
    <mergeCell ref="M28:N29"/>
    <mergeCell ref="O28:P29"/>
    <mergeCell ref="Q24:R25"/>
    <mergeCell ref="S24:T25"/>
    <mergeCell ref="D26:F27"/>
    <mergeCell ref="G26:H27"/>
    <mergeCell ref="U24:V25"/>
    <mergeCell ref="C30:C31"/>
    <mergeCell ref="D30:F31"/>
    <mergeCell ref="G30:H31"/>
    <mergeCell ref="I30:J31"/>
    <mergeCell ref="K30:L31"/>
    <mergeCell ref="M30:N31"/>
    <mergeCell ref="O30:P31"/>
    <mergeCell ref="Q28:R29"/>
    <mergeCell ref="S28:T29"/>
    <mergeCell ref="U28:V29"/>
    <mergeCell ref="C24:C25"/>
    <mergeCell ref="D24:F25"/>
    <mergeCell ref="G24:H25"/>
    <mergeCell ref="I24:J25"/>
    <mergeCell ref="K24:L25"/>
    <mergeCell ref="M24:N25"/>
    <mergeCell ref="O24:P25"/>
    <mergeCell ref="Q30:R31"/>
    <mergeCell ref="S30:T31"/>
    <mergeCell ref="U30:V31"/>
    <mergeCell ref="S26:T27"/>
    <mergeCell ref="U26:V27"/>
    <mergeCell ref="C26:C27"/>
    <mergeCell ref="C32:C33"/>
    <mergeCell ref="D32:F33"/>
    <mergeCell ref="G32:H33"/>
    <mergeCell ref="I32:J33"/>
    <mergeCell ref="K32:L33"/>
    <mergeCell ref="M32:N33"/>
    <mergeCell ref="O32:P33"/>
    <mergeCell ref="C43:T43"/>
    <mergeCell ref="U43:V43"/>
    <mergeCell ref="Q32:R33"/>
    <mergeCell ref="S32:T33"/>
    <mergeCell ref="U32:V33"/>
    <mergeCell ref="C36:C37"/>
    <mergeCell ref="D36:F37"/>
    <mergeCell ref="G36:H37"/>
    <mergeCell ref="I36:J37"/>
    <mergeCell ref="K36:L37"/>
    <mergeCell ref="M36:N37"/>
    <mergeCell ref="O36:P37"/>
    <mergeCell ref="D40:F41"/>
    <mergeCell ref="G40:H41"/>
    <mergeCell ref="I40:J41"/>
    <mergeCell ref="K40:L41"/>
    <mergeCell ref="M40:N41"/>
    <mergeCell ref="Q36:R37"/>
    <mergeCell ref="S36:T37"/>
    <mergeCell ref="U36:V37"/>
    <mergeCell ref="C42:T42"/>
    <mergeCell ref="U42:V42"/>
    <mergeCell ref="O11:P12"/>
    <mergeCell ref="Q11:R12"/>
    <mergeCell ref="S11:T12"/>
    <mergeCell ref="U11:V12"/>
    <mergeCell ref="C34:C35"/>
    <mergeCell ref="D34:F35"/>
    <mergeCell ref="G34:H35"/>
    <mergeCell ref="I34:J35"/>
    <mergeCell ref="K34:L35"/>
    <mergeCell ref="M34:N35"/>
    <mergeCell ref="C11:C12"/>
    <mergeCell ref="D11:F12"/>
    <mergeCell ref="G11:H12"/>
    <mergeCell ref="I11:J12"/>
    <mergeCell ref="K11:L12"/>
    <mergeCell ref="M11:N12"/>
    <mergeCell ref="M26:N27"/>
    <mergeCell ref="O26:P27"/>
    <mergeCell ref="Q26:R27"/>
    <mergeCell ref="O38:P39"/>
    <mergeCell ref="Q38:R39"/>
    <mergeCell ref="S38:T39"/>
    <mergeCell ref="U38:V39"/>
    <mergeCell ref="B36:B41"/>
    <mergeCell ref="B24:B29"/>
    <mergeCell ref="Q34:R35"/>
    <mergeCell ref="S34:T35"/>
    <mergeCell ref="U34:V35"/>
    <mergeCell ref="B30:B35"/>
    <mergeCell ref="C38:C39"/>
    <mergeCell ref="D38:F39"/>
    <mergeCell ref="G38:H39"/>
    <mergeCell ref="I38:J39"/>
    <mergeCell ref="K38:L39"/>
    <mergeCell ref="M38:N39"/>
    <mergeCell ref="I26:J27"/>
    <mergeCell ref="K26:L27"/>
    <mergeCell ref="O40:P41"/>
    <mergeCell ref="Q40:R41"/>
    <mergeCell ref="S40:T41"/>
    <mergeCell ref="U40:V41"/>
    <mergeCell ref="O34:P35"/>
    <mergeCell ref="C40:C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MAKLUMAT PELAJAR &amp; PROJEK</vt:lpstr>
      <vt:lpstr>TECHNICAL PAPER (15%)</vt:lpstr>
      <vt:lpstr>FINAL REPORT (20%)</vt:lpstr>
      <vt:lpstr>LOGBOOK (5%)</vt:lpstr>
      <vt:lpstr>PROJECT INNOVATION (25%)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Hazwani Binti Rahmat</dc:creator>
  <cp:lastModifiedBy>Hazwani Binti Rahmat</cp:lastModifiedBy>
  <dcterms:created xsi:type="dcterms:W3CDTF">2025-10-15T13:13:09Z</dcterms:created>
  <dcterms:modified xsi:type="dcterms:W3CDTF">2026-03-12T01:18:30Z</dcterms:modified>
</cp:coreProperties>
</file>